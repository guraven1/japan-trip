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gur/Documents/Japan/"/>
    </mc:Choice>
  </mc:AlternateContent>
  <xr:revisionPtr revIDLastSave="0" documentId="13_ncr:1_{BBD45F4D-2A87-034F-94F6-96056F073DF4}" xr6:coauthVersionLast="47" xr6:coauthVersionMax="47" xr10:uidLastSave="{00000000-0000-0000-0000-000000000000}"/>
  <bookViews>
    <workbookView xWindow="0" yWindow="660" windowWidth="34560" windowHeight="21680" tabRatio="500" activeTab="1" xr2:uid="{00000000-000D-0000-FFFF-FFFF00000000}"/>
  </bookViews>
  <sheets>
    <sheet name="Overview" sheetId="1" r:id="rId1"/>
    <sheet name="Booking Checklist" sheetId="2" r:id="rId2"/>
    <sheet name="Transportation" sheetId="3" r:id="rId3"/>
    <sheet name="Lodging" sheetId="4" r:id="rId4"/>
    <sheet name="Itinerary" sheetId="5" r:id="rId5"/>
    <sheet name="Restaurants" sheetId="6" r:id="rId6"/>
    <sheet name="Attractions &amp; Tickets" sheetId="7" r:id="rId7"/>
    <sheet name="Budget" sheetId="8" r:id="rId8"/>
    <sheet name="Apps &amp; Links" sheetId="9" r:id="rId9"/>
    <sheet name="Packing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4" l="1"/>
  <c r="C23" i="1"/>
  <c r="C33" i="8"/>
  <c r="C32" i="8"/>
  <c r="C31" i="8"/>
  <c r="C30" i="8"/>
  <c r="C29" i="8"/>
  <c r="C28" i="8"/>
  <c r="C27" i="8"/>
</calcChain>
</file>

<file path=xl/sharedStrings.xml><?xml version="1.0" encoding="utf-8"?>
<sst xmlns="http://schemas.openxmlformats.org/spreadsheetml/2006/main" count="1081" uniqueCount="678">
  <si>
    <t>JAPAN 2026  ·  Gur &amp; Rachel</t>
  </si>
  <si>
    <t>Sep 3–23, 2026 · 20 nights · Schedule A (Mountains) · adapted from Rachel G.’s 2025 planner</t>
  </si>
  <si>
    <t>TRIP SNAPSHOT</t>
  </si>
  <si>
    <t>Dates</t>
  </si>
  <si>
    <t>Thu Sep 3 – Wed Sep 23, 2026</t>
  </si>
  <si>
    <t>Depart TLV Sep 2 19:45 · land Narita Sep 3 13:20 · fly home Sep 23</t>
  </si>
  <si>
    <t>Travelers</t>
  </si>
  <si>
    <t>Couple (29)</t>
  </si>
  <si>
    <t>+ Rachel’s sister &amp; boyfriend join the Hokkaido leg (Sep 7–10)</t>
  </si>
  <si>
    <t>Flights ✓ BOOKED</t>
  </si>
  <si>
    <t>El Al LY91 / LY92 · Premium</t>
  </si>
  <si>
    <t>TLV→Narita Sep 2 19:45→Sep 3 13:20 · Narita→TLV Sep 23 15:35→22:20 (PNR YJ5PON)</t>
  </si>
  <si>
    <t>Domestic ✓ BOOKED</t>
  </si>
  <si>
    <t>ANA NH59 · Haneda→Sapporo</t>
  </si>
  <si>
    <t>Mon Sep 7: Haneda T2 10:00 → New Chitose 11:35 (ANA ref FMSXWA)</t>
  </si>
  <si>
    <t>Schedule</t>
  </si>
  <si>
    <t>A — Mountains</t>
  </si>
  <si>
    <t>Kyoto 4n · Osaka 2n · Takayama 3n (Kamikōchi + Shirakawa-gō)</t>
  </si>
  <si>
    <t>Route</t>
  </si>
  <si>
    <t>Tokyo → Hokkaido → Kyoto → Osaka → Takayama → Tokyo</t>
  </si>
  <si>
    <t>Tokyo capped at 8 nights total (4 front + 4 finale)</t>
  </si>
  <si>
    <t>Hotel strategy</t>
  </si>
  <si>
    <t>Splurge where it counts</t>
  </si>
  <si>
    <t>Go high on the Sep 9 onsen ryokan + Tokyo Silver-Week finale; mid/upscale elsewhere</t>
  </si>
  <si>
    <t>Rail</t>
  </si>
  <si>
    <t>No JR Pass</t>
  </si>
  <si>
    <t>Individual tickets + mobile Suica/ICOCA</t>
  </si>
  <si>
    <t>ROUTE &amp; NIGHTS</t>
  </si>
  <si>
    <t>Base</t>
  </si>
  <si>
    <t>Nights</t>
  </si>
  <si>
    <t>Notes</t>
  </si>
  <si>
    <t>Tokyo (front)</t>
  </si>
  <si>
    <t>Thu Sep 3 – Mon Sep 7</t>
  </si>
  <si>
    <t>West-side (Shibuya). ✓ Booked: Shibuya Stream Hotel — station-connected; Haneda limousine bus for the 7th.</t>
  </si>
  <si>
    <t>Sapporo</t>
  </si>
  <si>
    <t>Mon Sep 7 – Wed Sep 9</t>
  </si>
  <si>
    <t>Central Susukino. ✓ Booked: Sapporo Stream Hotel — atop Cocono Susukino, direct subway; Superior Double (Klook KGG392117).</t>
  </si>
  <si>
    <t>Onsen ryokan (Noboribetsu / Lake Tōya)</t>
  </si>
  <si>
    <t>Wed Sep 9 – Thu Sep 10</t>
  </si>
  <si>
    <t>⭐ ✓ Booked: Takinoya, Noboribetsu — 1 room for all 4; soak + kaiseki farewell. NON-REFUNDABLE.</t>
  </si>
  <si>
    <t>Kyoto</t>
  </si>
  <si>
    <t>Thu Sep 10 – Mon Sep 14</t>
  </si>
  <si>
    <t>Central downtown. ✓ Booked: HOTEL RINGS KYOTO — walkable to Nishiki, Pontochō, Gion.</t>
  </si>
  <si>
    <t>Osaka</t>
  </si>
  <si>
    <t>Mon Sep 14 – Wed Sep 16</t>
  </si>
  <si>
    <t>Namba/Shinsaibashi near Dōtonbori &amp; Kuromon. ✓ Booked: Hotel Royal Classic Osaka (100m from Namba).</t>
  </si>
  <si>
    <t>Takayama</t>
  </si>
  <si>
    <t>Takayama Sep 16–18 · Alps (Okuhida) Sep 18–19</t>
  </si>
  <si>
    <t>✓ Takayama Ouan (2n) + Kutsuroginoya Yuu, Okuhida (1n, private open-air bath). Shirakawa-gō + Kamikōchi.</t>
  </si>
  <si>
    <t>Tokyo (finale)</t>
  </si>
  <si>
    <t>Sat Sep 19 – Wed Sep 23</t>
  </si>
  <si>
    <t>⭐ Silver Week — ✓ BOOKED: The Tokyo Station Hotel (Klook YTX109746)</t>
  </si>
  <si>
    <t>TOTAL</t>
  </si>
  <si>
    <t>LOCKED DECISIONS (don’t re-litigate)</t>
  </si>
  <si>
    <t>•  Route fixed: Tokyo → Hokkaido → Kyoto → Osaka → Takayama → Tokyo.</t>
  </si>
  <si>
    <t>•  Tokyo capped at 8 nights on purpose (9 felt like too much).</t>
  </si>
  <si>
    <t>•  Hokkaido: Sapporo nights 1–2, then an onsen-ryokan night (Sep 9) at Noboribetsu or Lake Tōya.</t>
  </si>
  <si>
    <t>•  Fly, don’t rail, for Hokkaido: Haneda→New Chitose (Sep 7 AM); New Chitose→Osaka Itami (Sep 10).</t>
  </si>
  <si>
    <t>•  No full JR Pass — individual tickets + mobile Suica/ICOCA.</t>
  </si>
  <si>
    <t>•  No Hakone overnight, no Universal Studios. Fuji only as an optional clear-day side trip from Tokyo.</t>
  </si>
  <si>
    <t>•  Silver Week (Sep 19–23) is spent in Tokyo by design (best city to absorb the crowds).</t>
  </si>
  <si>
    <t>•  Kitchen-supply trail: Kappabashi (Tokyo) → Aritsugu (Kyoto/Nishiki) → Doguyasuji (Osaka).</t>
  </si>
  <si>
    <t>Note: weekday labels were corrected — Sep 3, 2026 is a THURSDAY. The original itinerary doc had every weekday in the front half shifted by one day. Silver Week 2026 = Sat Sep 19 – Wed Sep 23 (holidays Mon 21, Tue 22, Wed 23), so the fly-home day is a holiday — pad airport time.</t>
  </si>
  <si>
    <t>BOOKING CHECKLIST</t>
  </si>
  <si>
    <t>Work top-down. P0 = book now (Silver Week / sells out). Reserved train seats open exactly 1 month ahead at 10:00 JST.</t>
  </si>
  <si>
    <t>Priority</t>
  </si>
  <si>
    <t>Task</t>
  </si>
  <si>
    <t>Details</t>
  </si>
  <si>
    <t>Book / window opens</t>
  </si>
  <si>
    <t>Status</t>
  </si>
  <si>
    <t>Confirmation #</t>
  </si>
  <si>
    <t>P0</t>
  </si>
  <si>
    <t>Tokyo finale hotel (Sep 19–23)</t>
  </si>
  <si>
    <t>Silver Week — sells out months ahead</t>
  </si>
  <si>
    <t>Booked Jul 10</t>
  </si>
  <si>
    <t>Booked</t>
  </si>
  <si>
    <t>YTX109746</t>
  </si>
  <si>
    <t>The Tokyo Station Hotel · City View King (non-smoking) · via Klook · ₪7,808.93 · free-cancel to Sep 4 (02:00 JST)</t>
  </si>
  <si>
    <t>Takayama → Tokyo train seats (Sep 19)</t>
  </si>
  <si>
    <t>Hida + shinkansen via Nagoya; Silver Week</t>
  </si>
  <si>
    <t>Booked Aug 19</t>
  </si>
  <si>
    <t>E37835 (Eki-net) / 185319539 (bus)</t>
  </si>
  <si>
    <t>Exit via Matsumoto (Okuhida reroute): bus 26510 Hirayu 12:55→Matsumoto 14:23 (mobile ticket, seats 03A/B, ¥6,000/2) + Azusa 42 Matsumoto 15:10→Shinjuku 18:04 (car 5, 1-A/B, ¥13,460/2). ⚠ Pick up Azusa paper tickets at a JR East machine in Tokyo Sep 3–6 (QR / code 29372419579521238). Old 14:50 res E70454 refunded in full.</t>
  </si>
  <si>
    <t>Onsen ryokan (Noboribetsu / Lake Tōya, Sep 9)</t>
  </si>
  <si>
    <t>Private/outdoor bath + kaiseki; locks with sister &amp; bf</t>
  </si>
  <si>
    <t>Booked Jul 11</t>
  </si>
  <si>
    <t>JFN966234</t>
  </si>
  <si>
    <t>Takinoya (Noboribetsu) · 1 room for 4 · Klook · ₪4,827.15 · NON-REFUNDABLE · ✓ dietary email handled Aug 29 (Rachel vegetarian / Tamar vegan)</t>
  </si>
  <si>
    <t>P1</t>
  </si>
  <si>
    <t>Haneda → New Chitose flight (Mon Sep 7)</t>
  </si>
  <si>
    <t>ANA NH59, dep 10:00; ref FMSXWA</t>
  </si>
  <si>
    <t>Booked Jun 28</t>
  </si>
  <si>
    <t>New Chitose → Osaka Itami flight (Thu Sep 10)</t>
  </si>
  <si>
    <t>ANA NH984, dep 13:45 → arr 15:40 (✓ e-ticket); ref DHYPIM · 1 bag pp</t>
  </si>
  <si>
    <t>Booked Jul 18</t>
  </si>
  <si>
    <t>DHYPIM</t>
  </si>
  <si>
    <t>teamLab tickets (Planets and/or Borderless)</t>
  </si>
  <si>
    <t>Planets for Sep 4; timed entry</t>
  </si>
  <si>
    <t>Booked Aug 29</t>
  </si>
  <si>
    <t>DMM QR ticket (My Tickets)</t>
  </si>
  <si>
    <t>✓ BOOKED Aug 29 via official teamLab Planets store (DMM). Fri Sep 4, entry 11:00–11:30 JST · Entrance Pass Adults ×2 · ¥9,200 total, credit card. QR on My Tickets https://teamlabplanets.dmm.com/en/mytickets/d0be66a92f36ecff08 (appears after 00:00 Sep 4; the email alone does NOT admit). Change date/time up to 3× on My Tickets, ≥2h before entry; no refunds. Plan: Sensō-ji early → Toyosu 11:00 → lunch Senkyaku Banrai → Kappabashi PM → Udatsu 20:30. Avoid public buses from Tokyo Stn/Ginza (congested). Borderless (Sep 20/22) still optional.</t>
  </si>
  <si>
    <t>Shibuya Sky timed entry (Sep 5 sunset)</t>
  </si>
  <si>
    <t>Sep 5 sunset</t>
  </si>
  <si>
    <t>—</t>
  </si>
  <si>
    <t>Dropped</t>
  </si>
  <si>
    <t>Decided Aug 29 to skip Shibuya Sky. Sep 5 evening = SG Club 19:30 only.</t>
  </si>
  <si>
    <t>Kaiseki / omakase dinners (Kyoto + Tokyo farewell)</t>
  </si>
  <si>
    <t>Gion kaiseki; Sep 22 farewell</t>
  </si>
  <si>
    <t>1–3 months ahead</t>
  </si>
  <si>
    <t>Udatsu Sushi Sep 4 ✓ (AutoReserve) · Nakahigashi Sep 11 ✓ (PC #885962) · FARO Sep 22 ✓ (#C3SAA5) · plus SG Club Sep 5 ✓, Hikiniku Sep 12 ✓, Kyōya Sep 17 ✓, IRORIYA Sep 20 ✓ · LE MiDi Sep 16 ✓ (AutoReserve, confirmed Aug 16) — ALL dinners booked ✓</t>
  </si>
  <si>
    <t>P2</t>
  </si>
  <si>
    <t>Hotels: Tokyo front, Sapporo, Kyoto, Osaka, Takayama</t>
  </si>
  <si>
    <t>All hotels now booked ✓ (Sapporo was the last)</t>
  </si>
  <si>
    <t>After P0</t>
  </si>
  <si>
    <t>Booked: Tokyo front (Shibuya Stream); Sapporo (Sapporo Stream, KGG392117); Kyoto (RINGS); Osaka (Royal Classic); Takayama Ouan 2n (ERB149933) + Alps Kutsuroginoya Yuu (GFV226893); onsen Takinoya (JFN966234). All lodging booked ✓.</t>
  </si>
  <si>
    <t>Osaka → Takayama Hida seats (Sep 16)</t>
  </si>
  <si>
    <t>Sit RIGHT leaving Nagoya for river views</t>
  </si>
  <si>
    <t>Booked Aug 16</t>
  </si>
  <si>
    <t>2001 (Smart-EX) / 45760 (e5489)</t>
  </si>
  <si>
    <t>Nozomi 84 Shin-Osaka 09:24→Nagoya 10:13 · car 14, seats 2-D/2-E · ¥12,560/2 · Smart-EX res 2001 (QR ticket or IC) + Hida 7 Nagoya 10:48→Takayama 13:12 · car 8, seats 9-C/9-D (D = river side) · ¥11,880/2 · e5489 res 45760, receipt AEC9782M · ⚠ pick up Hida paper tickets at a JR-West office/machine OUTSIDE the gates before boarding (bring Mastercard …1969 + 4-digit ID) — easiest at Shin-Osaka Sep 14–15</t>
  </si>
  <si>
    <t>Luggage forwarding (takkyūbin) plan</t>
  </si>
  <si>
    <t>Forward Osaka → Tokyo, bypass Takayama</t>
  </si>
  <si>
    <t>Ship Sep 15 by 16:00</t>
  </si>
  <si>
    <t>Decided</t>
  </si>
  <si>
    <t>Plan locked Aug 29: hand the big bags to Hotel Royal Classic Osaka front desk on Sep 15 by ~16:00 (Yamato takkyūbin) → The Tokyo Station Hotel, name + "arriving Sep 19", Klook YTX109746. ~¥2,000–2,500/bag, arrives Sep 16–17, hotel holds. Travel Sep 16–19 with daypack + overnight bag each. Email the Tokyo Station Hotel Sep 13–14 (not earlier).</t>
  </si>
  <si>
    <t>eSIM / data</t>
  </si>
  <si>
    <t>Ubigi (Docomo network — best in the Alps). One per phone.</t>
  </si>
  <si>
    <t>Before Sep 2</t>
  </si>
  <si>
    <t>To do</t>
  </si>
  <si>
    <t>Sep 23: N’EX Tokyo Stn → Narita T1 seat reservation</t>
  </si>
  <si>
    <t>Holiday — reserve; N’EX leaves under the hotel</t>
  </si>
  <si>
    <t>Eki-net — window open</t>
  </si>
  <si>
    <t>Target the ~11:30 N’EX → T1 by ~12:30 (LY92 15:35). ~¥3,250 pp. Same Eki-net account as the Azusa; QR e-ticket or pick up at a Tokyo Stn machine Sep 19–22.</t>
  </si>
  <si>
    <t>P3</t>
  </si>
  <si>
    <t>Finalize per-city day plans</t>
  </si>
  <si>
    <t>Schedule A locked</t>
  </si>
  <si>
    <t>Ongoing</t>
  </si>
  <si>
    <t>Restaurant shortlist per city</t>
  </si>
  <si>
    <t>Sapporo is the only city with an open booking — see row below</t>
  </si>
  <si>
    <t>Fuji day-trip decision</t>
  </si>
  <si>
    <t>Weather-dependent; Sep 5 or 6</t>
  </si>
  <si>
    <t>Closer to date</t>
  </si>
  <si>
    <t>OPEN DECISION — Fuji only on a clear-day forecast; otherwise Sep 6 = Shimokitazawa / Kiyosumi flex day.</t>
  </si>
  <si>
    <t>Shirakawa-gō express bus (Thu Sep 17)</t>
  </si>
  <si>
    <t>Nohi express bus, Takayama Nohi Bus Center → Shirakawa-gō (~50 min). Morning departures reservation-only and sell out in Sept.</t>
  </si>
  <si>
    <t>Japan Bus Online / Nohi mobile ticket — open now</t>
  </si>
  <si>
    <t>Book the EXPRESS bus, not the guided sightseeing tour. Round trip: out ~08:50, back ~15:15 (Kyōya dinner 19:00). ~¥1,600 each way. Pay within 3 days or it auto-cancels. Viewpoint shuttle in the village = pay on the day. Note: Route 158 landslide detour adds ~10 min on Takayama–Hirayu buses (Sep 18/19), not on this route.</t>
  </si>
  <si>
    <t>Sapporo group dinner — Restaurant Molière (Sep 7 or 8, 4 ppl)</t>
  </si>
  <si>
    <t>Tabelog 4.27, French; the one place likely to do Tamar’s vegan course properly</t>
  </si>
  <si>
    <t>AutoReserve — open now</t>
  </si>
  <si>
    <t>autoreserve.com/en/restaurants/UwFU67CvC9fF79SWwVtF · 4 guests · notes: 1× vegan (no dairy/egg/fish/dashi) + 1× vegetarian (fish OK). ¥20–40k pp. Suggested Sep 7. Other night = jingisukan walk-in (Beer Garden / Daruma, expect 20–40 min wait) or Beyond Age soup curry (vegan broth). Otaru lunch Sep 8 = Masazushi Honten walk-in at 11:45 or 13:30 (Tabelog EN booking optional).</t>
  </si>
  <si>
    <t>ANA baggage allowance — verify (NH59 Sep 7, NH984 Sep 10)</t>
  </si>
  <si>
    <t>E-ticket shows "1PC"; ANA domestic is normally 20 kg total, any pieces</t>
  </si>
  <si>
    <t>ana.co.jp → Manage booking</t>
  </si>
  <si>
    <t>Check FMSXWA and DHYPIM under Manage booking. If it really is 1 piece pp and you fly with 2 bags each, add the 2nd piece online (cheaper than at the counter). If it shows 20 kg, no action.</t>
  </si>
  <si>
    <t>Email Tokyo Station Hotel re incoming takkyūbin bags</t>
  </si>
  <si>
    <t>Send Sep 13–14 (from Kyoto) — too early before that</t>
  </si>
  <si>
    <t>Sep 13–14</t>
  </si>
  <si>
    <t>Say: 2 bags arriving by Yamato ~Sep 16–17 for check-in Sat Sep 19, guest name + Klook YTX109746, please hold.</t>
  </si>
  <si>
    <t>Sep 7 Shibuya → Haneda (NH59 10:00)</t>
  </si>
  <si>
    <t>No booking — take the train</t>
  </si>
  <si>
    <t>Shibuya → Shinagawa (Yamanote) → Keikyu to Haneda T2, ~40 min, ~¥600. Leave Shibuya Stream by 07:45; bag drop closes 09:30. Limousine bus (Shibuya Excel Hotel, ~¥1,300) only if you want to avoid carrying bags — Monday traffic risk.</t>
  </si>
  <si>
    <t>Sep 3 Narita → Shibuya</t>
  </si>
  <si>
    <t>No booking — N’EX direct to Shibuya Stn</t>
  </si>
  <si>
    <t>On arrival</t>
  </si>
  <si>
    <t>Buy at JR East Travel Service Center, Narita T1 arrivals. ~13:20 land → ~14:30 N’EX → Shibuya ~15:50. ~¥3,250 pp.</t>
  </si>
  <si>
    <t>Sep 18 Takayama → Kamikōchi → Okuhida ryokan buses</t>
  </si>
  <si>
    <t>No reservations possible on these Nohi local lines</t>
  </si>
  <si>
    <t>Buy at counter Sep 18 AM</t>
  </si>
  <si>
    <t>Nohi Bus Center counter: Takayama→Kamikōchi one-way ¥3,000 (incl. Hirayu transfer); take ~07:40 → Kamikōchi ~09:10. Afternoon: Kamikōchi→Hirayu ¥1,500 (last useful ~16:30) + Shinhotaka-line bus Hirayu→Tochio stop (Kutsuroginoya Yuu, ~10 min). Lockers at Hirayu and Kamikōchi terminals.</t>
  </si>
  <si>
    <t>OPEN DECISIONS (pick up next session)</t>
  </si>
  <si>
    <t>Wow night · DisneySea · Sapporo 2nd night · Borderless</t>
  </si>
  <si>
    <t>Open</t>
  </si>
  <si>
    <t>(a) "Wow night" Tokyo front — helicopter (¥63–140k, Sep 4 eve) vs yakatabune dinner cruise (¥14–24k pp, veg menu on request, Sep 6) vs skip. (b) Sep 22 DisneySea vs shopping day. (c) Sapporo night 2: Beer Garden vs Daruma vs Beyond Age. (d) teamLab Borderless (Azabudai) in Silver Week — only if wanted; weekday-holiday afternoon Sep 22 before FARO is the least-bad slot. (e) Dietary note still to send to Kutsuroginoya Yuu (Okuhida, Sep 18) for Rachel.</t>
  </si>
  <si>
    <t>TRANSPORTATION</t>
  </si>
  <si>
    <t>Schedule A. Prices in ₪ (¥ converted at ₪1≈¥47.8; flights from $ at $1≈₪3.00, Jun 28 2026). Japanese tickets are sold in ¥.</t>
  </si>
  <si>
    <t>FLIGHTS</t>
  </si>
  <si>
    <t>Date</t>
  </si>
  <si>
    <t>Day</t>
  </si>
  <si>
    <t>Leg</t>
  </si>
  <si>
    <t>Mode / Line</t>
  </si>
  <si>
    <t>Duration</t>
  </si>
  <si>
    <t>Est. cost (₪/person)</t>
  </si>
  <si>
    <t>Reserve?</t>
  </si>
  <si>
    <t>Sep 2</t>
  </si>
  <si>
    <t>Wed</t>
  </si>
  <si>
    <t>Tel Aviv (TLV) → Tokyo Narita (NRT)</t>
  </si>
  <si>
    <t>El Al LY91 · Premium</t>
  </si>
  <si>
    <t>~11h35m</t>
  </si>
  <si>
    <t>booked</t>
  </si>
  <si>
    <t>Dep TLV T3 19:45 → arr NRT T1 13:20 (Sep 3). PNR YJ5PON (Gur+Rachel); Gur also YFYDLE. 2 bags pp.</t>
  </si>
  <si>
    <t>Sep 7</t>
  </si>
  <si>
    <t>Mon</t>
  </si>
  <si>
    <t>Haneda (HND) → New Chitose (CTS)</t>
  </si>
  <si>
    <t>ANA NH59 · 787</t>
  </si>
  <si>
    <t>~1h35m</t>
  </si>
  <si>
    <t>~357</t>
  </si>
  <si>
    <t>✓ BOOKED — Haneda T2 10:00 → New Chitose T-D 11:35. Ref FMSXWA (Rachel + Gur). JR Rapid → Sapporo ~12:30.</t>
  </si>
  <si>
    <t>Sep 10</t>
  </si>
  <si>
    <t>Thu</t>
  </si>
  <si>
    <t>New Chitose (CTS) → Osaka Itami (ITM)</t>
  </si>
  <si>
    <t>ANA NH984 · 737-800</t>
  </si>
  <si>
    <t>1h55m</t>
  </si>
  <si>
    <t>~627</t>
  </si>
  <si>
    <t>✓ BOOKED — New Chitose Terminal D 13:45 → Osaka Itami 15:40 (Thu Sep 10; ✓ confirmed from e-ticket Aug 29). Ref DHYPIM · class Q(Y) · baggage 1PC per person (⚠ El Al allows 2 — pay/prebook an extra piece on ANA if flying with 2 bags each). Direct; Itami beats Kansai for Kyoto. Then Hankyu Limousine Bus → Kyoto Stn (~55 min).</t>
  </si>
  <si>
    <t>Sep 23</t>
  </si>
  <si>
    <t>Tokyo Narita (NRT) → Tel Aviv (TLV)</t>
  </si>
  <si>
    <t>El Al LY92 · Premium</t>
  </si>
  <si>
    <t>~12h45m</t>
  </si>
  <si>
    <t>Dep NRT T1 15:35 → arr TLV T3 22:20. Be at NRT ~13:00 (holiday — leave central Tokyo ~11:00).</t>
  </si>
  <si>
    <t>GROUND &amp; RAIL LEGS</t>
  </si>
  <si>
    <t>Sep 3</t>
  </si>
  <si>
    <t>Narita (NRT) → Tokyo hotel</t>
  </si>
  <si>
    <t>N’EX (direct to Shibuya)</t>
  </si>
  <si>
    <t>~60–90m</t>
  </si>
  <si>
    <t>55–75</t>
  </si>
  <si>
    <t>No</t>
  </si>
  <si>
    <t>Land Narita T1 13:20. N’EX runs direct to Shibuya Stn (connected to Shibuya Stream). Buy at the JR East Travel Service Center on arrival; no prebooking needed. ~¥3,250 pp.</t>
  </si>
  <si>
    <t>New Chitose → Sapporo</t>
  </si>
  <si>
    <t>JR Rapid Airport</t>
  </si>
  <si>
    <t>~37m</t>
  </si>
  <si>
    <t>24</t>
  </si>
  <si>
    <t>Optional</t>
  </si>
  <si>
    <t>Every ~15 min. In central Sapporo by late morning for group lunch.</t>
  </si>
  <si>
    <t>Sep 9</t>
  </si>
  <si>
    <t>Sapporo → Noboribetsu</t>
  </si>
  <si>
    <t>Rental car (group, Sep 8–10)</t>
  </si>
  <si>
    <t>~1h45 drive</t>
  </si>
  <si>
    <t>Not needed</t>
  </si>
  <si>
    <t>🚗 DO NOT BOOK the train — the group rental car (Sep 8–10, Shakotan day + ryokan run) covers this. Drive Sapporo → Noboribetsu; stop at Jigokudani "Hell Valley" on arrival. Drivers need IDP booklets from Israel.</t>
  </si>
  <si>
    <t>Noboribetsu Onsen → New Chitose</t>
  </si>
  <si>
    <t>Rental car (group) → return at CTS</t>
  </si>
  <si>
    <t>~1h10 drive</t>
  </si>
  <si>
    <t>🚗 DO NOT BOOK the Donan bus — drive the rental car to New Chitose and return it at the airport before NH984 (dep 13:45). Leave the ryokan by ~11:00, car back by ~12:15, bag drop closes 13:15. Confirm car-return location/time with Tamar.</t>
  </si>
  <si>
    <t>Osaka Itami → Kyoto</t>
  </si>
  <si>
    <t>Hankyu Airport Limousine Bus</t>
  </si>
  <si>
    <t>~55m</t>
  </si>
  <si>
    <t>28</t>
  </si>
  <si>
    <t>Every 30 min to Kyoto Stn Hachijō (south) gate.</t>
  </si>
  <si>
    <t>Sep 16</t>
  </si>
  <si>
    <t>Shin-Osaka → Nagoya</t>
  </si>
  <si>
    <t>Tōkaidō Shinkansen · Nozomi 84</t>
  </si>
  <si>
    <t>49m</t>
  </si>
  <si>
    <t>~131</t>
  </si>
  <si>
    <t>Recommended</t>
  </si>
  <si>
    <t>✓ BOOKED Aug 16 via Smart-EX (res 2001, membership 4455495660). Shin-Osaka 09:24 → Nagoya 10:13, car 14, seats 2-D/2-E. ¥12,560 for 2 (~₪131 pp). Board with QR-Ticket (or designate IC cards). 35-min transfer to Hida 7. Forward luggage today.</t>
  </si>
  <si>
    <t>Nagoya → Takayama</t>
  </si>
  <si>
    <t>Ltd Exp Hida (HC85)</t>
  </si>
  <si>
    <t>~2h24m</t>
  </si>
  <si>
    <t>~124</t>
  </si>
  <si>
    <t>Yes — sit RIGHT</t>
  </si>
  <si>
    <t>✓ BOOKED Aug 16 via JR-WEST e5489 (res 45760, receipt AEC9782M). Hida 7: Nagoya 10:48 → Takayama 13:12, car 8, seats 9-C/9-D — D is the right/river side after Gifu. ¥11,880 for 2 (~₪124 pp). ⚠ Pick up paper tickets at a JR-West station office/e5489 machine outside the gates (Mastercard …1969 + 4-digit ID needed) — easiest at Shin-Osaka/Osaka Stn on Sep 14–15.</t>
  </si>
  <si>
    <t>Sep 19</t>
  </si>
  <si>
    <t>Sat</t>
  </si>
  <si>
    <t>Okuhida (Hirayu) → Matsumoto</t>
  </si>
  <si>
    <t>Nohi/Alpico highway bus 26510</t>
  </si>
  <si>
    <t>1h28m</t>
  </si>
  <si>
    <t>~63</t>
  </si>
  <si>
    <t>✓ BOOKED Aug 19 via highwaybus.com (res 185319539). Hirayu Onsen 12:55 → Matsumoto BT 14:23. Bus 1, seats 03A/03B. ¥6,000 for 2. 🎫 MOBILE TICKET — show the highwaybus.com email on your phone at boarding (screenshot it!); no ticket = pay again. Morning: local Nohi bus from ryokan (Tochio) to Hirayu BT, be there ~12:35. Cancel online only until 11:20 that day (¥100 pp).</t>
  </si>
  <si>
    <t>Matsumoto → Tokyo (Shinjuku)</t>
  </si>
  <si>
    <t>JR Azusa 42 (all-reserved)</t>
  </si>
  <si>
    <t>2h54m</t>
  </si>
  <si>
    <t>~141</t>
  </si>
  <si>
    <t>✓ BOOKED Aug 19 via Eki-net (res E37835; old 14:50 res E70454 refunded ¥13,460 in full). Azusa 42: Matsumoto 15:10 → Shinjuku 18:04. Car 5, seats 1-A/1-B. ¥13,460 for 2 (MC …6051). 🎫 Pick up PAPER tickets at any JR East machine with QR / pickup code 29372419579521238 — do it in Tokyo Sep 3–6 (calendar errand set for Sep 4). Base fare valid to all Tokyo-ward JR stations: at Shinjuku stay inside the gates, Chūō rapid → Tokyo Stn on the same ticket.</t>
  </si>
  <si>
    <t>Tokyo hotel → Narita (NRT)</t>
  </si>
  <si>
    <t>N’EX (Tokyo Stn → Narita T1)</t>
  </si>
  <si>
    <t>Yes — reserve</t>
  </si>
  <si>
    <t>LY92 dep 15:35 (holiday). Take the ~11:30 N’EX from under the hotel → T1 ~12:30. Book on Eki-net (window open), ~¥3,250 pp.</t>
  </si>
  <si>
    <t>STANDING DECISIONS &amp; HOW-TO</t>
  </si>
  <si>
    <t>IC card</t>
  </si>
  <si>
    <t>Add mobile Suica to Apple Wallet (iPhone) and top up with a credit card. Welcome Suica Mobile app exists for tourists (iPhone only). ICOCA also adds to Apple Wallet. Physical unregistered Suica/PASMO resumed sale Mar 2025 (Android needs a physical card).</t>
  </si>
  <si>
    <t>Seat reservations</t>
  </si>
  <si>
    <t>Reserved seats open 1 month before at 10:00 JST. ✓ Osaka→Takayama (Sep 16) BOOKED Aug 16 (Smart-EX 2001 + e5489 45760). ✓ Sep 19 exit BOOKED Aug 19: bus Hirayu 12:55→Matsumoto 14:23 (highwaybus.com 185319539, mobile ticket) + Azusa 42 Matsumoto 15:10→Shinjuku 18:04 (Eki-net E37835, pick up paper tickets in Tokyo Sep 3–6). Remaining optional: N'EX Tokyo→Narita Sep 23 — window opens Aug 23 (same Eki-net account).</t>
  </si>
  <si>
    <t>Luggage forwarding</t>
  </si>
  <si>
    <t>Use Yamato takkyūbin: forward the big suitcases Osaka hotel → Tokyo finale hotel (bypass Takayama) and travel the 3 Takayama nights with small bags. Send by ~16:00; allow 1–2 days (Takayama is remote).</t>
  </si>
  <si>
    <t>Visit Japan Web</t>
  </si>
  <si>
    <t>Pre-register immigration + customs QR codes before landing Sep 3 to skip airport lines.</t>
  </si>
  <si>
    <t>LODGING</t>
  </si>
  <si>
    <t>Splurge on the ⭐ rows (onsen ryokan + Tokyo finale); mid/upscale elsewhere. Always favor free-cancellation rates.</t>
  </si>
  <si>
    <t>Base / area</t>
  </si>
  <si>
    <t>Check-in</t>
  </si>
  <si>
    <t>Check-out</t>
  </si>
  <si>
    <t>Target tier</t>
  </si>
  <si>
    <t>Candidate(s) — to fill</t>
  </si>
  <si>
    <t>Price est.</t>
  </si>
  <si>
    <t>Free-cancel until</t>
  </si>
  <si>
    <t>Tokyo front (Shibuya)</t>
  </si>
  <si>
    <t>Thu Sep 3</t>
  </si>
  <si>
    <t>Mon Sep 7</t>
  </si>
  <si>
    <t>Mid/Upscale</t>
  </si>
  <si>
    <t>Shibuya Stream Hotel — Standard Double</t>
  </si>
  <si>
    <t>₪3,130.24 total (~₪783/n)</t>
  </si>
  <si>
    <t>Sep 1, 2026 · 21:59 JST</t>
  </si>
  <si>
    <t>✓ Booked</t>
  </si>
  <si>
    <t>PBZ943404 (Klook)</t>
  </si>
  <si>
    <t>✓ BOOKED Jul 10 via Klook. In the Shibuya Stream complex, connected to Shibuya Station; direct Haneda limousine bus for the Sep 7 flight. Room only. Partial refund Sep 1–2 (fee ₪765.77); non-refundable after Sep 2 22:00 JST.</t>
  </si>
  <si>
    <t>Sapporo (central / Susukino)</t>
  </si>
  <si>
    <t>Wed Sep 9</t>
  </si>
  <si>
    <t>Sapporo Stream Hotel — Superior Double</t>
  </si>
  <si>
    <t>₪701.96 total (~₪351/n)</t>
  </si>
  <si>
    <t>Sep 4, 2026 · 21:59 JST</t>
  </si>
  <si>
    <t>KGG392117 (Klook)</t>
  </si>
  <si>
    <t>✓ BOOKED Jul 17 via Klook. Sapporo Stream Hotel — atop the Cocono Susukino complex (direct subway); onsen + rooftop terrace. Superior Double, 2 adults. Room only. Free cancellation to Sep 4 21:59 JST; non-refundable after.</t>
  </si>
  <si>
    <t>Onsen ryokan — Noboribetsu (Takinoya)</t>
  </si>
  <si>
    <t>Thu Sep 10</t>
  </si>
  <si>
    <t>⭐ Splurge</t>
  </si>
  <si>
    <t>Noboribetsu Onsenkyo Takinoya — Std Japanese-style room (1 room, all 4)</t>
  </si>
  <si>
    <t>₪4,827.15 total (1 room for 4, ~₪1,207 pp)</t>
  </si>
  <si>
    <t>NON-REFUNDABLE</t>
  </si>
  <si>
    <t>JFN966234 (Klook)</t>
  </si>
  <si>
    <t>✓ BOOKED Jul 11 via Klook. Luxury ryokan; 1 Japanese-style room (futons) shared by all 4. Likely half-board (kaiseki + breakfast) — verify on the voucher. NON-REFUNDABLE. ✓ Dietary email handled Aug 29 (Rachel vegetarian + Tamar vegan).</t>
  </si>
  <si>
    <t>Kyoto (downtown / near Stn)</t>
  </si>
  <si>
    <t>Mon Sep 14</t>
  </si>
  <si>
    <t>HOTEL RINGS KYOTO — Standard Double</t>
  </si>
  <si>
    <t>₪1,524.84 total (~₪381/n)</t>
  </si>
  <si>
    <t>Sep 6, 2026 · 22:00 JST</t>
  </si>
  <si>
    <t>HZR550734 (Klook)</t>
  </si>
  <si>
    <t>✓ BOOKED Jul 10 via Klook. Design boutique in Nakagyō — walkable to Nishiki, Pontochō, Gion. Room only. Free cancellation to Sep 6 22:00 JST; non-refundable after.</t>
  </si>
  <si>
    <t>Osaka (Namba / Shinsaibashi)</t>
  </si>
  <si>
    <t>Wed Sep 16</t>
  </si>
  <si>
    <t>Hotel Royal Classic Osaka — Standard Queen</t>
  </si>
  <si>
    <t>₪968.37 total (~₪484/n)</t>
  </si>
  <si>
    <t>Sep 11, 2026 · 08:59 JST</t>
  </si>
  <si>
    <t>EEV842685 (Klook)</t>
  </si>
  <si>
    <t>✓ BOOKED Jul 10 via Klook. Kengo Kuma–designed hotel, 100m from Namba Stn — near Dōtonbori &amp; Kuromon. Room only. Free cancellation to Sep 11 08:59 JST (partial to Sep 12, fee ₪216.19); non-refundable after.</t>
  </si>
  <si>
    <t>Takayama (old-town area)</t>
  </si>
  <si>
    <t>Fri Sep 18</t>
  </si>
  <si>
    <t>Takayama Ouan (Hida Hanasato-no-Yu) — Wa Deluxe Double</t>
  </si>
  <si>
    <t>₪671.24 total (2n)</t>
  </si>
  <si>
    <t>Sep 13, 2026 · 21:59 JST</t>
  </si>
  <si>
    <t>ERB149933 (Klook)</t>
  </si>
  <si>
    <t>✓ BOOKED (rebooked to 2n) Jul 11 via Klook. Kyoritsu Resort onsen hotel, rooftop bath, ~3-min from JR Takayama Stn. Wa Deluxe Double. Room only. Free-cancel to Sep 13 21:59 JST. (Old 3n booking cancelled/refunded.)</t>
  </si>
  <si>
    <t>Alps onsen ryokan — Okuhida (Kutsuroginoya Yuu)</t>
  </si>
  <si>
    <t>Sat Sep 19</t>
  </si>
  <si>
    <t>Ryokan Kutsuroginoya Yuu — Maisonette (New Bldg), Private Open-Air Bath</t>
  </si>
  <si>
    <t>₪1,466.42 total</t>
  </si>
  <si>
    <t>Sep 11, 2026 · 21:59 JST</t>
  </si>
  <si>
    <t>GFV226893 (Klook)</t>
  </si>
  <si>
    <t>✓ BOOKED Jul 11 via Klook. Okuhida Onsen; room with PRIVATE OPEN-AIR BATH; likely kaiseki + breakfast (verify voucher). Base for a Kamikōchi day + Shinhotaka Ropeway. Free-cancel to Sep 11 21:59 JST. ⚠ Note Rachel vegetarian for the kaiseki.</t>
  </si>
  <si>
    <t>Tokyo finale (central / near transit)</t>
  </si>
  <si>
    <t>Wed Sep 23</t>
  </si>
  <si>
    <t>The Tokyo Station Hotel — City View King (non-smoking)</t>
  </si>
  <si>
    <t>₪7,808.93 total (~₪1,952/n)</t>
  </si>
  <si>
    <t>Sep 4, 2026 · 02:00 JST</t>
  </si>
  <si>
    <t>YTX109746 (Klook)</t>
  </si>
  <si>
    <t>✓ BOOKED Jul 10 via Klook. Inside Tokyo Station (Marunouchi) — step off the Shinkansen; N’EX to Narita downstairs. Room only (do the Atrium breakfast à la carte). Partial refund only Sep 4–17 (fee ₪4,717.42); non-refundable after Sep 17 22:00 JST.</t>
  </si>
  <si>
    <t>TOTAL NIGHTS</t>
  </si>
  <si>
    <t>ITINERARY — SCHEDULE A</t>
  </si>
  <si>
    <t>Corrected weekdays. ⭐ = signature moment. Detailed picks live in Restaurants / Attractions tabs.</t>
  </si>
  <si>
    <t>Highlights (Schedule A)</t>
  </si>
  <si>
    <t>Category notes</t>
  </si>
  <si>
    <t>Tokyo</t>
  </si>
  <si>
    <t>Land Narita 13:20 (El Al LY91); Skyliner/N’EX into the city, drop bags. Easy evening in Shinjuku — Omoide Yokochō &amp; Golden Gai. Don’t fight jet lag.</t>
  </si>
  <si>
    <t>Arrival / soft landing</t>
  </si>
  <si>
    <t>Sep 4</t>
  </si>
  <si>
    <t>Fri</t>
  </si>
  <si>
    <t>Sensō-ji + Nakamise early (07:30–09:30). ⭐ teamLab Planets ✓ BOOKED — entry 11:00–11:30 (Toyosu; leave Asakusa ~10:15). Lunch at Senkyaku Banrai next door. Afternoon Kappabashi Kitchen Town (knives/ceramics; shops close 17:00–18:00). Dinner ✓ BOOKED: Udatsu Sushi omakase (Nakameguro), 20:30.</t>
  </si>
  <si>
    <t>Old Tokyo · kitchen · teamLab</t>
  </si>
  <si>
    <t>Sep 5</t>
  </si>
  <si>
    <t>Meiji Jingū + Yoyogi, coffee at Fuglen. Nezu Museum garden. Omotesandō/Cat St + Koffee Mameya. (Shibuya Sky dropped.) Evening ✓ BOOKED: The SG Club (Shibuya), 19:30.</t>
  </si>
  <si>
    <t>Gardens · coffee · vintage</t>
  </si>
  <si>
    <t>Sep 6</t>
  </si>
  <si>
    <t>Sun</t>
  </si>
  <si>
    <t>Flex day: Shimokitazawa (vintage) or Kiyosumi-Shirakawa (coffee district). Evening: pack, sleep near a Haneda line.</t>
  </si>
  <si>
    <t>Flex · position for flight</t>
  </si>
  <si>
    <t>ANA NH59 Haneda 10:00 → New Chitose 11:35; JR Rapid to Sapporo ~12:30, meet the group for lunch. Nijō Market or Sapporo Beer Garden. Susukino ramen / soup curry.</t>
  </si>
  <si>
    <t>Fly north · Hokkaido begins</t>
  </si>
  <si>
    <t>Sep 8</t>
  </si>
  <si>
    <t>Tue</t>
  </si>
  <si>
    <t>Otaru day trip (canal, sushi street, LeTAO). Back: Mt. Moiwa ropeway night view. Coffee at Morihico.</t>
  </si>
  <si>
    <t>Otaru · night view</t>
  </si>
  <si>
    <t>Onsen ryokan</t>
  </si>
  <si>
    <t>Check out; to Noboribetsu / Lake Tōya. Walk Jigokudani “Hell Valley.” ⭐ Onsen ryokan: private soak, yukata, kaiseki farewell with sister &amp; bf.</t>
  </si>
  <si>
    <t>⭐ Ryokan + onsen night</t>
  </si>
  <si>
    <t>Onsen breakfast; CTS→Itami→Kyoto. Ease in: Nishiki Market + Aritsugu (knives since 1560), Teramachi arcades, Pontochō dinner by the river.</t>
  </si>
  <si>
    <t>Fly south · Kyoto begins</t>
  </si>
  <si>
    <t>Sep 11</t>
  </si>
  <si>
    <t>Dawn Fushimi Inari. Kiyomizu-dera + Ninenzaka/Sannenzaka; % Arabica Higashiyama. Ginkaku-ji + Philosopher’s Path → Nanzen-ji. ⭐ Dinner ✓ BOOKED: Sōjiki Nakahigashi kaiseki, 18:00.</t>
  </si>
  <si>
    <t>Eastern Kyoto</t>
  </si>
  <si>
    <t>Sep 12</t>
  </si>
  <si>
    <t>Arashiyama early: bamboo, Tenryū-ji, Ōkōchi Sansō, monkey park, riverside % Arabica. Afternoon Kinkaku-ji and/or Ryōan-ji. Inoda or Smart Coffee. Lunch ✓ BOOKED: Hikiniku to Come (Higashiyama), 12:45 check-in.</t>
  </si>
  <si>
    <t>Arashiyama</t>
  </si>
  <si>
    <t>Sep 13</t>
  </si>
  <si>
    <t>Nara day trip: Tōdai-ji Great Buddha, the deer, Kasuga Taisha. Back for a Kiyamachi/Pontochō evening.</t>
  </si>
  <si>
    <t>Nara day trip</t>
  </si>
  <si>
    <t>Sep 14</t>
  </si>
  <si>
    <t>To Osaka. Afternoon Osaka Castle + park. Evening Dōtonbori + Kuromon Ichiba — takoyaki, okonomiyaki, kushikatsu.</t>
  </si>
  <si>
    <t>City + street food</t>
  </si>
  <si>
    <t>Sep 15</t>
  </si>
  <si>
    <t>Doguyasuji kitchenware arcade + Kuromon (AM). Amerikamura vintage, Shinsaibashi. Coffee at Takamura or Ult. Evening Shinsekai kushikatsu / Tsuruhashi yakiniku.</t>
  </si>
  <si>
    <t>Kitchen · vintage · food</t>
  </si>
  <si>
    <t>To Takayama (~4h via Nagoya; forward luggage). Afternoon Sanmachi old town — Edo streets, sake breweries, Hida-beef skewers; Higashiyama walk. Dinner ✓ BOOKED: LE MiDi (Hida-beef French), 19:00 — kitchen closes 20:30.</t>
  </si>
  <si>
    <t>Travel + old town</t>
  </si>
  <si>
    <t>Sep 17</t>
  </si>
  <si>
    <t>⭐ Shirakawa-gō — UNESCO thatched village (~50 min bus) + hillside viewpoint. Back to Takayama; markets, sake. Dinner ✓ BOOKED: Kyōya farmhouse hearth, 19:00 (AutoReserve).</t>
  </si>
  <si>
    <t>⭐ Shirakawa-gō day</t>
  </si>
  <si>
    <t>Sep 18</t>
  </si>
  <si>
    <t>Okuhida</t>
  </si>
  <si>
    <t>Check out → Kamikōchi via Hirayu (bus): ⭐ Kappabashi, Taishō Pond, Hotaka peaks. Then Okuhida onsen ryokan (Kutsuroginoya Yuu) — private open-air bath + kaiseki.</t>
  </si>
  <si>
    <t>⭐ Kamikōchi + onsen ryokan</t>
  </si>
  <si>
    <t>→ Tokyo</t>
  </si>
  <si>
    <t>Optional early Shinhotaka Ropeway, then local bus to Hirayu by ~12:35. ✓ BOOKED: bus Hirayu 12:55 → Matsumoto 14:23 (mobile ticket) → Azusa 42, Matsumoto 15:10 → Shinjuku 18:04 (car 5, seats 1-A/B; paper tickets picked up in Tokyo). Chūō rapid to Tokyo Stn on same ticket; at finale hotel ~18:40. Easy evening (Bar High Five / SG Club).</t>
  </si>
  <si>
    <t>Alps → Tokyo (via Matsumoto)</t>
  </si>
  <si>
    <t>Sep 20</t>
  </si>
  <si>
    <t>Strolling garden (Rikugien / Hamarikyū). Tsukiji Outer Market lunch. teamLab Borderless (Azabudai) or Ginza. (Best day for Kamakura if leaving the city.) Dinner ✓ BOOKED: IRORIYA (Higashi Ginza), 19:00.</t>
  </si>
  <si>
    <t>Gardens · market · art</t>
  </si>
  <si>
    <t>Sep 21</t>
  </si>
  <si>
    <t>HOLIDAY — stay in town. Kōenji / Shimokitazawa vintage, or Nakano Broadway. Coffee crawl: Glitch (Jimbōchō) → Onibus (Nakameguro).</t>
  </si>
  <si>
    <t>Vintage · neighborhoods</t>
  </si>
  <si>
    <t>Sep 22</t>
  </si>
  <si>
    <t>HOLIDAY — last full day. Shopping sweep: Kappabashi rd 2, Akihabara, Don Quijote/Loft. Or a DisneySea day. ⭐ Farewell dinner ✓ BOOKED: FARO (Ginza), 19:00.</t>
  </si>
  <si>
    <t>Shopping · farewell</t>
  </si>
  <si>
    <t>HOLIDAY — fly home (El Al LY92, Narita dep 15:35). Leave central Tokyo ~11:00 for Narita (holiday traffic). Last konbini snacks.</t>
  </si>
  <si>
    <t>Departure</t>
  </si>
  <si>
    <t>Silver Week tip: avoid Nikkō / Kamakura on Sep 21–22 (mobbed). Keep day trips for Sep 20, or do city days. Book restaurants &amp; timed-entry spots ahead.</t>
  </si>
  <si>
    <t>RESTAURANTS &amp; COFFEE</t>
  </si>
  <si>
    <t>Shortlist by city (food · coffee · vintage-friendly). Use Tabelog for reviews/booking. ⭐ items want advance reservations. ⚠ Rachel is VEGETARIAN (may try fish) — favor veg-friendly / shōjin-ryōri (Buddhist vegetarian kaiseki); confirm no bonito dashi at kaiseki &amp; sushi.</t>
  </si>
  <si>
    <t>City</t>
  </si>
  <si>
    <t>Place</t>
  </si>
  <si>
    <t>Type</t>
  </si>
  <si>
    <t>Farewell Sep 22 ✓: FARO (Ginza, Shiseido Bldg 10F) — 1★ Italian; Rachel = Vegan course, Gur = Gastronomy. (MAZ/Daigo no longer needed.) — Sep 4 dinner now ✓ Udatsu Sushi (row below); Sep 5 evening = SG Club ✓</t>
  </si>
  <si>
    <t>Dinner ⭐</t>
  </si>
  <si>
    <t>Yes</t>
  </si>
  <si>
    <t>Tue Sep 22, 19:00 · 2 ppl · TableCheck #C3SAA5 · ¥44,000 refundable deposit held (¥20k×2 + ¥4k svc) · same-day cancel = 100% · &gt;30 min late may cancel — call 03-3572-3911 · engagement message card arranged 🎉 · flag any new allergies ≥2 days ahead</t>
  </si>
  <si>
    <r>
      <rPr>
        <sz val="10"/>
        <rFont val="Arial"/>
        <family val="2"/>
        <charset val="1"/>
      </rPr>
      <t xml:space="preserve">Udatsu Sushi </t>
    </r>
    <r>
      <rPr>
        <sz val="10"/>
        <rFont val="Noto Sans CJK SC"/>
        <family val="2"/>
      </rPr>
      <t xml:space="preserve">うだつ </t>
    </r>
    <r>
      <rPr>
        <sz val="10"/>
        <rFont val="Arial"/>
        <family val="2"/>
        <charset val="1"/>
      </rPr>
      <t>(Nakameguro, 2-48-10 Kamimeguro, Meguro-ku) — creative omakase, counter</t>
    </r>
  </si>
  <si>
    <t>Fri Sep 4, 20:30 · 2 ppl · counter · Chef's selection course ¥36,300 · AutoReserve — approved Aug 13 · name: Aven Gur · ¥7,280 confirmation fee PAID (Mastercard …6051, non-refundable) · food &amp; drinks paid at restaurant · cancel ≤7d = 30% / ≤3d = 50% / ≤2d = 100% (+10% handling) · ¥79,860 card credit hold auto-releases after visit · tel 050-3550-5938</t>
  </si>
  <si>
    <t>Yakitori under the tracks — Yūrakuchō / Omoide Yokochō</t>
  </si>
  <si>
    <t>Yakitori</t>
  </si>
  <si>
    <t>Walk-in</t>
  </si>
  <si>
    <t>Sep 3–4 evenings</t>
  </si>
  <si>
    <t>Tsukiji Outer Market / Toyosu</t>
  </si>
  <si>
    <t>Sushi · seafood</t>
  </si>
  <si>
    <t>Sep 20 lunch</t>
  </si>
  <si>
    <t>Bar High Five (Ginza) · Ben Fiddich (Shinjuku)</t>
  </si>
  <si>
    <t>Cocktail bars</t>
  </si>
  <si>
    <t>Some</t>
  </si>
  <si>
    <t>World-class; small rooms</t>
  </si>
  <si>
    <t>The SG Club — "Sip" floor B1 (Shibuya, 1-7-8 Jinnan)</t>
  </si>
  <si>
    <t>Cocktail bar</t>
  </si>
  <si>
    <t>Sat Sep 5, 19:30 · 2 ppl · conf # HLCCCM (TableCheck) · seat-only, free cancellation · arrive on time (15 min late = may cancel) · 90-min limit when busy</t>
  </si>
  <si>
    <t>IRORIYA (Higashi Ginza, 3-11-11 Ginza B1F) — irori charcoal-hearth dining</t>
  </si>
  <si>
    <t>Dinner</t>
  </si>
  <si>
    <t>Sun Sep 20, 19:00 · 2 ppl · TableCheck #EUQMTC · pay at venue · 15 min late = may cancel · cancel same-day = 100% fee · changes by phone 03-3547-7901 · flag Rachel vegetarian ahead</t>
  </si>
  <si>
    <t>Coffee: Fuglen · Koffee Mameya · Glitch · Onibus · Blue Bottle (Kiyosumi) · Bear Pond</t>
  </si>
  <si>
    <t>Coffee</t>
  </si>
  <si>
    <t>Spread across days</t>
  </si>
  <si>
    <t>Nijō / Jōgai Market — kaisendon (uni, crab, ikura)</t>
  </si>
  <si>
    <t>Seafood</t>
  </si>
  <si>
    <t>Soup curry — Suage / Garaku</t>
  </si>
  <si>
    <t>Soup curry</t>
  </si>
  <si>
    <t>Hokkaido must-try</t>
  </si>
  <si>
    <t>Miso ramen — Susukino Ramen Yokochō (Sumire / Shirakaba Sansō)</t>
  </si>
  <si>
    <t>Ramen</t>
  </si>
  <si>
    <t>Sep 7 evening</t>
  </si>
  <si>
    <t>Jingisukan — Daruma / Sapporo Beer Garden</t>
  </si>
  <si>
    <t>Lamb BBQ</t>
  </si>
  <si>
    <t>Group dinner option</t>
  </si>
  <si>
    <t>Morihico</t>
  </si>
  <si>
    <t>Atmospheric roaster-café</t>
  </si>
  <si>
    <r>
      <rPr>
        <sz val="10"/>
        <rFont val="Arial"/>
        <family val="2"/>
        <charset val="1"/>
      </rPr>
      <t xml:space="preserve">Sōjiki Nakahigashi </t>
    </r>
    <r>
      <rPr>
        <sz val="10"/>
        <rFont val="Noto Sans CJK SC"/>
        <family val="2"/>
      </rPr>
      <t xml:space="preserve">草喰なかひがし </t>
    </r>
    <r>
      <rPr>
        <sz val="10"/>
        <rFont val="Arial"/>
        <family val="2"/>
        <charset val="1"/>
      </rPr>
      <t>(nr. Ginkaku-ji) — 2★, foraged-vegetable kaiseki. Replaces Roan Kikunoi plan.</t>
    </r>
  </si>
  <si>
    <t>Kaiseki ⭐</t>
  </si>
  <si>
    <t>Fri Sep 11, 18:00 · 2 ppl · PREPAID ¥31,460 via Pocket Concierge #885962 · veg note on file (broth OK) · fish dashi unavoidable · no payment at restaurant · changes after 6pm Sep 10 = call 075-752-3500 · smart casual</t>
  </si>
  <si>
    <r>
      <rPr>
        <sz val="10"/>
        <rFont val="Arial"/>
        <family val="2"/>
        <charset val="1"/>
      </rPr>
      <t xml:space="preserve">Hikiniku to Come </t>
    </r>
    <r>
      <rPr>
        <sz val="10"/>
        <rFont val="Noto Sans CJK SC"/>
        <family val="2"/>
      </rPr>
      <t xml:space="preserve">挽肉と米 </t>
    </r>
    <r>
      <rPr>
        <sz val="10"/>
        <rFont val="Arial"/>
        <family val="2"/>
        <charset val="1"/>
      </rPr>
      <t>(Higashiyama, 363 Kiyomoto-chō) — hamburg steak &amp; rice</t>
    </r>
  </si>
  <si>
    <t>Lunch</t>
  </si>
  <si>
    <t>Sat Sep 12, 12:45 · 2 ppl · PREPAID ¥5,960 (priority ticket + set meals) · TableCheck #RQAM9V — show number at door · 12:45 = check-in time, expect a wait · 10 min late = auto-cancel · non-refundable ≤7 days out · sides/drinks via ticket machine</t>
  </si>
  <si>
    <t>Yudōfu near Nanzen-ji · Pontochō riverside dining</t>
  </si>
  <si>
    <t>Traditional</t>
  </si>
  <si>
    <t>Nishiki Market (snack-through) + Aritsugu</t>
  </si>
  <si>
    <t>Market · knives</t>
  </si>
  <si>
    <t>% Arabica (Higashiyama/Arashiyama) · Weekenders · Kurasu · Inoda (1940) · Smart Coffee</t>
  </si>
  <si>
    <t>Coffee/kissaten</t>
  </si>
  <si>
    <t>Dōtonbori — takoyaki &amp; okonomiyaki</t>
  </si>
  <si>
    <t>Street food</t>
  </si>
  <si>
    <t>Kuromon Ichiba Market</t>
  </si>
  <si>
    <t>Market</t>
  </si>
  <si>
    <t>Sep 14–15 AM</t>
  </si>
  <si>
    <t>Shinsekai kushikatsu · Tsuruhashi yakiniku</t>
  </si>
  <si>
    <t>Fried / BBQ</t>
  </si>
  <si>
    <t>Sep 15 evening</t>
  </si>
  <si>
    <t>Takamura · Ult · Lilo · Mel Coffee Roasters</t>
  </si>
  <si>
    <t>⭐ Hida beef — sushi / skewers / steak</t>
  </si>
  <si>
    <t>Hida beef</t>
  </si>
  <si>
    <t>Sep 16 &amp; 18</t>
  </si>
  <si>
    <t>Restaurant LE MiDi (Honmachi 2-85) — Hida-beef French bistro</t>
  </si>
  <si>
    <t>Wed Sep 16, 19:00 · 2 ppl · table-only (no set course) · ✓ CONFIRMED Aug 16 via AutoReserve · ¥4,680 confirmation fee PAID (Mastercard …6051, non-refundable) · food &amp; drinks paid at restaurant · kitchen closes 20:30 that day — don't linger in Sanmachi · &gt;15 min late = table may be released (call 0577-36-6386) · card credit-hold for cancel fee auto-releases after visit</t>
  </si>
  <si>
    <r>
      <rPr>
        <sz val="10"/>
        <rFont val="Arial"/>
        <family val="2"/>
        <charset val="1"/>
      </rPr>
      <t xml:space="preserve">Shun An </t>
    </r>
    <r>
      <rPr>
        <sz val="10"/>
        <rFont val="Noto Sans CJK SC"/>
        <family val="2"/>
      </rPr>
      <t xml:space="preserve">旬庵 </t>
    </r>
    <r>
      <rPr>
        <sz val="10"/>
        <rFont val="Arial"/>
        <family val="2"/>
        <charset val="1"/>
      </rPr>
      <t>(Suehiro-chō 60) — creative kappō-izakaya, Hida beef + mountain vegetables</t>
    </r>
  </si>
  <si>
    <t>✗ Declined</t>
  </si>
  <si>
    <t>AutoReserve request for Thu Sep 17, 20:00 DECLINED — no tables available. ¥2,600 hold released (no charge). RESOLVED: Kyōya booked instead for Thu Sep 17, 19:00 ✓ (row below).</t>
  </si>
  <si>
    <r>
      <rPr>
        <sz val="10"/>
        <rFont val="Arial"/>
        <family val="2"/>
        <charset val="1"/>
      </rPr>
      <t xml:space="preserve">Hida Takayama Kyoya </t>
    </r>
    <r>
      <rPr>
        <sz val="10"/>
        <rFont val="Noto Sans CJK SC"/>
        <family val="2"/>
      </rPr>
      <t xml:space="preserve">京や </t>
    </r>
    <r>
      <rPr>
        <sz val="10"/>
        <rFont val="Arial"/>
        <family val="2"/>
        <charset val="1"/>
      </rPr>
      <t>(Daishinmachi 1-77) — farmhouse hearth izakaya, Hida beef + hoba-miso</t>
    </r>
  </si>
  <si>
    <t>Thu Sep 17, 19:00 · 2 ppl · AutoReserve — approved Aug 12 · name: Aven Gur · counter (non-smoking) · table-only (order à la carte on site) · ¥2,400 AutoReserve confirmation fee PAID (Mastercard …6051, non-refundable) · food &amp; drinks paid at restaurant · a cancellation-fee credit hold may show on the card, auto-released after visit · tel 0577-34-7660 · hoba-miso for Rachel</t>
  </si>
  <si>
    <t>Takayama ramen · local sake · mitarashi dango (markets)</t>
  </si>
  <si>
    <t>Local</t>
  </si>
  <si>
    <t>ATTRACTIONS &amp; TICKETS</t>
  </si>
  <si>
    <t>Top block = date-specific bookings. Lower block = per-city reference to pull from.</t>
  </si>
  <si>
    <t>TIMED / ADVANCE BOOKINGS</t>
  </si>
  <si>
    <t>Item</t>
  </si>
  <si>
    <t>When / book by</t>
  </si>
  <si>
    <t>teamLab Planets</t>
  </si>
  <si>
    <t>Sep 4 · 11:00–11:30 entry</t>
  </si>
  <si>
    <t>DMM QR (My Tickets)</t>
  </si>
  <si>
    <t>✓ BOOKED Aug 29 · Toyosu · Adults ×2 · ¥9,200 · QR appears after 00:00 Sep 4 · changeable 3× (≥2h ahead) · no refunds</t>
  </si>
  <si>
    <t>Shibuya Sky</t>
  </si>
  <si>
    <t>Sep 5 sunset · ~1 mo ahead</t>
  </si>
  <si>
    <t>Decided Aug 29 to skip. Sep 5 evening = SG Club 19:30.</t>
  </si>
  <si>
    <t>teamLab Borderless</t>
  </si>
  <si>
    <t>Sep 20 (alt) · timed</t>
  </si>
  <si>
    <t>Azabudai; if you skip Planets</t>
  </si>
  <si>
    <t>Gion kaiseki dinner</t>
  </si>
  <si>
    <t>Sep 11 · 1–3 mo</t>
  </si>
  <si>
    <t>PC #885962</t>
  </si>
  <si>
    <t>✓ Sōjiki Nakahigashi Fri Sep 11 18:00 — see Restaurants</t>
  </si>
  <si>
    <t>Farewell dinner (omakase/kaiseki)</t>
  </si>
  <si>
    <t>Sep 22 · 1–3 mo</t>
  </si>
  <si>
    <t>TableCheck #C3SAA5</t>
  </si>
  <si>
    <t>✓ FARO (Ginza) Tue Sep 22 19:00 — see Restaurants</t>
  </si>
  <si>
    <t>DisneySea (optional)</t>
  </si>
  <si>
    <t>Sep 22 · book ahead</t>
  </si>
  <si>
    <t>Only if chosen over shopping</t>
  </si>
  <si>
    <t>Wow night (Tokyo front) — DECIDE LATER: (a) Helicopter night flight ~¥63–140k/flight (up to 3 pax), Sep 4, pairs with teamLab/Toyosu bay evening; (b) Yakatabune dinner cruise ~¥14–24k pp, veg menu on request, Sep 6 (doubles as dinner). Both bookable on Klook.</t>
  </si>
  <si>
    <t>REFERENCE — BY CITY (pull from these)</t>
  </si>
  <si>
    <t>Category</t>
  </si>
  <si>
    <t>Picks</t>
  </si>
  <si>
    <t>Temples/gardens</t>
  </si>
  <si>
    <t>Sensō-ji · Meiji Jingū+Yoyogi · Nezu Museum garden · Rikugien · Hamarikyū · Imperial Palace E. Gardens</t>
  </si>
  <si>
    <t>Views / must-do</t>
  </si>
  <si>
    <t>teamLab (Planets/Borderless) · Shibuya Sky · Skytree</t>
  </si>
  <si>
    <t>Vintage</t>
  </si>
  <si>
    <t>Shimokitazawa · Kōenji · Ura-Harajuku/Cat St · Nakano Broadway</t>
  </si>
  <si>
    <t>Kitchen ⭐</t>
  </si>
  <si>
    <t>Kappabashi Kitchen Town (Asakusa) — Kamata Hakensha, Tsubaya</t>
  </si>
  <si>
    <t>Hokkaido</t>
  </si>
  <si>
    <t>Nature</t>
  </si>
  <si>
    <t>Ōdōri Park · Maruyama Park + shrine · Mt. Moiwa night view · Otaru · Jigokudani · Lake Tōya</t>
  </si>
  <si>
    <t>Onsen ⭐</t>
  </si>
  <si>
    <t>Noboribetsu or Lake Tōya — soak-and-kaiseki night (Sep 9)</t>
  </si>
  <si>
    <t>Fushimi Inari · Kiyomizu-dera · Arashiyama (Tenryū-ji, bamboo, Ōkōchi Sansō) · Kinkaku-ji · Ginkaku-ji + Philosopher’s Path · Ryōan-ji · Nanzen-ji</t>
  </si>
  <si>
    <t>Aritsugu (knife maker since 1560, in Nishiki Market) · Kiyomizu-yaki ceramics on Chawanzaka</t>
  </si>
  <si>
    <t>Temples/views</t>
  </si>
  <si>
    <t>Osaka Castle + park · Sumiyoshi Taisha · Shitennō-ji · Nakanoshima</t>
  </si>
  <si>
    <t>Doguyasuji Arcade (Namba) — knives, cookware, signage</t>
  </si>
  <si>
    <t>Town</t>
  </si>
  <si>
    <t>Sanmachi old town · sake breweries · Miyagawa &amp; Jinya-mae morning markets · Higashiyama walk · Hida Folk Village</t>
  </si>
  <si>
    <t>Nature ⭐</t>
  </si>
  <si>
    <t>Kamikōchi · Shirakawa-gō · Shinhotaka Ropeway · Okuhida onsen</t>
  </si>
  <si>
    <t>BUDGET TRACKER</t>
  </si>
  <si>
    <t>In Shekels (₪). ¥ converted at ₪1≈¥47.8; flights from $ at $1≈₪3.00 (Jun 28 2026). Totals auto-sum by category.</t>
  </si>
  <si>
    <t>Est. ₪ (party of 2)</t>
  </si>
  <si>
    <t>Booked?</t>
  </si>
  <si>
    <t>Intl flight — Gur (El Al, Premium)</t>
  </si>
  <si>
    <t>Flights</t>
  </si>
  <si>
    <t>PNR YFYDLE · $3,807.97 @ ₪3.00 · BOOKED</t>
  </si>
  <si>
    <t>Intl flight — Rachel (El Al)</t>
  </si>
  <si>
    <t>Haneda → New Chitose — ANA NH59 (×2)</t>
  </si>
  <si>
    <t>✓ Booked · ref FMSXWA · ~₪357 pp (confirm exact on e-ticket)</t>
  </si>
  <si>
    <t>New Chitose → Osaka Itami (×2)</t>
  </si>
  <si>
    <t>✓ Booked · ref DHYPIM · ~₪627 pp (confirm exact on e-ticket)</t>
  </si>
  <si>
    <t>Hokkaido ground (Rapid + Suzuran + bus, ×2)</t>
  </si>
  <si>
    <t>Transport</t>
  </si>
  <si>
    <t>Itami → Kyoto bus (×2)</t>
  </si>
  <si>
    <t>Osaka → Takayama (×2)</t>
  </si>
  <si>
    <t>~₪251 pp</t>
  </si>
  <si>
    <t>Takayama → Tokyo (×2)</t>
  </si>
  <si>
    <t>~₪335 pp</t>
  </si>
  <si>
    <t>Local transit / Suica top-ups</t>
  </si>
  <si>
    <t>Estimate</t>
  </si>
  <si>
    <t>Luggage forwarding (takkyūbin)</t>
  </si>
  <si>
    <t>Osaka → Tokyo</t>
  </si>
  <si>
    <t>Tokyo front hotel (4n)</t>
  </si>
  <si>
    <t>Lodging</t>
  </si>
  <si>
    <t>Mid/upscale · ✓ Shibuya Stream Hotel (Klook PBZ943404), ₪3,130.24 paid, room only</t>
  </si>
  <si>
    <t>Sapporo hotel (2n)</t>
  </si>
  <si>
    <t>Mid/upscale · ✓ Sapporo Stream Hotel (Klook KGG392117), ₪701.96 paid, room only</t>
  </si>
  <si>
    <t>Onsen ryokan (1n) ⭐</t>
  </si>
  <si>
    <t>Splurge · ✓ Takinoya (Klook JFN966234). Gur paid ₪4,827.15 for the room of 4; sister owes half → couple share ₪2,413.58. NON-REFUNDABLE. ✓ Vegan/veg meals confirmed with ryokan Aug 29.</t>
  </si>
  <si>
    <t>Kyoto hotel (4n)</t>
  </si>
  <si>
    <t>Mid/upscale · ✓ HOTEL RINGS KYOTO (Klook HZR550734), ₪1,524.84 paid, room only</t>
  </si>
  <si>
    <t>Osaka hotel (2n)</t>
  </si>
  <si>
    <t>Mid/upscale · ✓ Hotel Royal Classic Osaka (Klook EEV842685), ₪968.37 paid, room only</t>
  </si>
  <si>
    <t>Takayama Ouan (2n) + Alps ryokan (1n)</t>
  </si>
  <si>
    <t>✓ Ouan (Klook ERB149933) ₪671.24 [2n] + Kutsuroginoya Yuu, Okuhida, private open-air bath (Klook GFV226893) ₪1,466.42 [1n]. Both free-cancel.</t>
  </si>
  <si>
    <t>Tokyo finale hotel (4n) ⭐</t>
  </si>
  <si>
    <t>Splurge · Silver Week · ✓ The Tokyo Station Hotel — City View King, room only · Klook YTX109746 · ₪7,808.93 paid (prepaid)</t>
  </si>
  <si>
    <t>teamLab Planets (×2)</t>
  </si>
  <si>
    <t>Attractions</t>
  </si>
  <si>
    <t>✓ ¥9,200 paid Aug 29 (DMM). Shibuya Sky dropped.</t>
  </si>
  <si>
    <t>Kaiseki / omakase dinners</t>
  </si>
  <si>
    <t>Food</t>
  </si>
  <si>
    <t>2 special dinners est.</t>
  </si>
  <si>
    <t>eSIM / data (×2)</t>
  </si>
  <si>
    <t>Misc</t>
  </si>
  <si>
    <t>Decision: Ubigi eSIM ×2, ~$25–30 each</t>
  </si>
  <si>
    <t>SUBTOTALS BY CATEGORY</t>
  </si>
  <si>
    <t>GRAND TOTAL (₪, party of 2)</t>
  </si>
  <si>
    <t>Blank ₪ cells (lodging, Rachel’s flight) are excluded until you enter figures. Japan costs are estimates, not quotes; flights are actuals.</t>
  </si>
  <si>
    <t>APPS, LINKS &amp; TIPS</t>
  </si>
  <si>
    <t>Set these up before you fly.</t>
  </si>
  <si>
    <t>APPS &amp; SERVICES</t>
  </si>
  <si>
    <t>Tool / tip</t>
  </si>
  <si>
    <t>What it’s for</t>
  </si>
  <si>
    <t>Pre-register immigration + customs QR before landing — skip airport queues</t>
  </si>
  <si>
    <t>Mobile Suica (Apple Wallet)</t>
  </si>
  <si>
    <t>Tap-to-ride IC card on iPhone; top up with a credit card. Welcome Suica Mobile for tourists (iPhone only)</t>
  </si>
  <si>
    <t>Smart-EX / Eki-net</t>
  </si>
  <si>
    <t>Reserve shinkansen + Hida limited-express seats online (opens 1 month out, 10:00 JST)</t>
  </si>
  <si>
    <t>Tabelog</t>
  </si>
  <si>
    <t>Japan’s restaurant review app — more reliable than Google Maps for food</t>
  </si>
  <si>
    <t>Yamato Transport (takkyūbin)</t>
  </si>
  <si>
    <t>Luggage forwarding between hotels — look for the yellow/green “TA-Q-BIN” counters; send by ~16:00</t>
  </si>
  <si>
    <t>Japan Travel by NAVITIME</t>
  </si>
  <si>
    <t>Transit routing + timetables in English</t>
  </si>
  <si>
    <t>Papago / Google Translate</t>
  </si>
  <si>
    <t>Translation (camera mode for menus &amp; signs)</t>
  </si>
  <si>
    <t>eSIM (Ubigi / Airalo)</t>
  </si>
  <si>
    <t>Data without a physical SIM; or rent pocket wifi</t>
  </si>
  <si>
    <t>Japan Wi-Fi auto-connect</t>
  </si>
  <si>
    <t>Connects to free public hotspots</t>
  </si>
  <si>
    <t>GOOD TO KNOW</t>
  </si>
  <si>
    <t>Trains</t>
  </si>
  <si>
    <t>Tokyo trains mostly run until ~midnight. Rush hours 7–9 AM &amp; 5–7 PM — avoid with luggage</t>
  </si>
  <si>
    <t>Etiquette</t>
  </si>
  <si>
    <t>No tipping. Don’t eat while walking. Keep voices low on trains</t>
  </si>
  <si>
    <t>Cash</t>
  </si>
  <si>
    <t>Cards widely accepted, but carry some cash — a few places are cash-only</t>
  </si>
  <si>
    <t>Tax-free</t>
  </si>
  <si>
    <t>Carry your passport for tax-free shopping (refund at the register)</t>
  </si>
  <si>
    <t>Restrooms</t>
  </si>
  <si>
    <t>Carry tissues + hand sanitizer; few public bins, so keep a small trash bag</t>
  </si>
  <si>
    <t>Layers</t>
  </si>
  <si>
    <t>Mid-Sept is warm in the cities but cool in Kamikōchi/Shirakawa-gō — bring a light jacket</t>
  </si>
  <si>
    <t>PACKING</t>
  </si>
  <si>
    <t>Adapted to a Sep trip with an Alps day. Tick as you go.</t>
  </si>
  <si>
    <t>DOCUMENTS</t>
  </si>
  <si>
    <t>Qty</t>
  </si>
  <si>
    <t>Packed?</t>
  </si>
  <si>
    <t>Passports</t>
  </si>
  <si>
    <t>2</t>
  </si>
  <si>
    <t>Flight tickets / boarding passes</t>
  </si>
  <si>
    <t>Travel insurance</t>
  </si>
  <si>
    <t>Visit Japan Web QR</t>
  </si>
  <si>
    <t>Credit cards + some cash (¥)</t>
  </si>
  <si>
    <t>Hotel/ryokan confirmations</t>
  </si>
  <si>
    <t>CLOTHING</t>
  </si>
  <si>
    <t>T-shirts / tops</t>
  </si>
  <si>
    <t>~12</t>
  </si>
  <si>
    <t>Long-sleeve / layers</t>
  </si>
  <si>
    <t>4</t>
  </si>
  <si>
    <t>Pants / jeans</t>
  </si>
  <si>
    <t>Light jacket (for the Alps)</t>
  </si>
  <si>
    <t>1</t>
  </si>
  <si>
    <t>Sweater / fleece</t>
  </si>
  <si>
    <t>Comfortable walking shoes</t>
  </si>
  <si>
    <t>Socks</t>
  </si>
  <si>
    <t>10</t>
  </si>
  <si>
    <t>Underwear</t>
  </si>
  <si>
    <t>~18</t>
  </si>
  <si>
    <t>Sleepwear</t>
  </si>
  <si>
    <t>Compact umbrella</t>
  </si>
  <si>
    <t>TOILETRIES</t>
  </si>
  <si>
    <t>Toothbrush + paste</t>
  </si>
  <si>
    <t>Skincare / sunscreen</t>
  </si>
  <si>
    <t>Deodorant</t>
  </si>
  <si>
    <t>Razor</t>
  </si>
  <si>
    <t>Meds: painkillers, cold, plasters</t>
  </si>
  <si>
    <t>Any prescriptions</t>
  </si>
  <si>
    <t>ELECTRONICS</t>
  </si>
  <si>
    <t>Phone + charger</t>
  </si>
  <si>
    <t>Power bank</t>
  </si>
  <si>
    <t>Type-A plug adapter</t>
  </si>
  <si>
    <t>Earbuds</t>
  </si>
  <si>
    <t>Camera + spare batteries</t>
  </si>
  <si>
    <t>MISC</t>
  </si>
  <si>
    <t>Small daypack</t>
  </si>
  <si>
    <t>Foldable tote (for shopping)</t>
  </si>
  <si>
    <t>Reusable bag for trash</t>
  </si>
  <si>
    <t>Eye mask + neck pillow (flight)</t>
  </si>
  <si>
    <t>Pen (immigration form)</t>
  </si>
  <si>
    <t>UBG1102188</t>
  </si>
  <si>
    <t>Decision Aug 29: Ubigi, not Partner roaming JAPAN • 25GB •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</si>
</sst>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5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9"/>
      <color rgb="FF595959"/>
      <name val="Arial"/>
      <family val="2"/>
      <charset val="1"/>
    </font>
    <font>
      <sz val="1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1F6F6B"/>
        <bgColor rgb="FF0E6E8C"/>
      </patternFill>
    </fill>
    <fill>
      <patternFill patternType="solid">
        <fgColor rgb="FF2F5496"/>
        <bgColor rgb="FF1F6F6B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FFE699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2" xfId="0" applyFont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 indent="1"/>
    </xf>
    <xf numFmtId="0" fontId="3" fillId="3" borderId="0" xfId="0" applyFont="1" applyFill="1" applyAlignment="1">
      <alignment horizontal="left" vertical="center" indent="1"/>
    </xf>
    <xf numFmtId="0" fontId="6" fillId="0" borderId="0" xfId="0" applyFont="1" applyAlignment="1">
      <alignment vertical="top" wrapText="1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5" fillId="0" borderId="1" xfId="0" applyFont="1" applyBorder="1"/>
    <xf numFmtId="0" fontId="0" fillId="0" borderId="1" xfId="0" applyBorder="1"/>
    <xf numFmtId="0" fontId="5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4" fillId="0" borderId="1" xfId="0" applyFont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0E6E8C"/>
      <rgbColor rgb="FFC0C0C0"/>
      <rgbColor rgb="FF8E7B4C"/>
      <rgbColor rgb="FF9999FF"/>
      <rgbColor rgb="FF595959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F6F6B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7B5EA7"/>
      <rgbColor rgb="FF5B6770"/>
      <rgbColor rgb="FF1F3864"/>
      <rgbColor rgb="FF2E7D32"/>
      <rgbColor rgb="FF003300"/>
      <rgbColor rgb="FF333300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D35"/>
  <sheetViews>
    <sheetView zoomScale="200" zoomScaleNormal="200" workbookViewId="0">
      <pane ySplit="15" topLeftCell="A16" activePane="bottomLeft" state="frozen"/>
      <selection pane="bottomLeft"/>
    </sheetView>
  </sheetViews>
  <sheetFormatPr baseColWidth="10" defaultColWidth="8.6640625" defaultRowHeight="15"/>
  <cols>
    <col min="1" max="2" width="22" customWidth="1"/>
    <col min="3" max="3" width="14" customWidth="1"/>
    <col min="4" max="4" width="52" customWidth="1"/>
  </cols>
  <sheetData>
    <row r="1" spans="1:4" ht="24" customHeight="1">
      <c r="A1" s="7" t="s">
        <v>0</v>
      </c>
      <c r="B1" s="7"/>
      <c r="C1" s="7"/>
      <c r="D1" s="7"/>
    </row>
    <row r="2" spans="1:4" ht="18" customHeight="1">
      <c r="A2" s="6" t="s">
        <v>1</v>
      </c>
      <c r="B2" s="6"/>
      <c r="C2" s="6"/>
      <c r="D2" s="6"/>
    </row>
    <row r="4" spans="1:4" ht="18" customHeight="1">
      <c r="A4" s="4" t="s">
        <v>2</v>
      </c>
      <c r="B4" s="4"/>
      <c r="C4" s="4"/>
      <c r="D4" s="4"/>
    </row>
    <row r="5" spans="1:4" ht="23.25" customHeight="1">
      <c r="A5" s="8" t="s">
        <v>3</v>
      </c>
      <c r="B5" s="8" t="s">
        <v>4</v>
      </c>
      <c r="C5" s="8"/>
      <c r="D5" s="8" t="s">
        <v>5</v>
      </c>
    </row>
    <row r="6" spans="1:4" ht="15" customHeight="1">
      <c r="A6" s="8" t="s">
        <v>6</v>
      </c>
      <c r="B6" s="8" t="s">
        <v>7</v>
      </c>
      <c r="C6" s="8"/>
      <c r="D6" s="8" t="s">
        <v>8</v>
      </c>
    </row>
    <row r="7" spans="1:4" ht="23.25" customHeight="1">
      <c r="A7" s="8" t="s">
        <v>9</v>
      </c>
      <c r="B7" s="8" t="s">
        <v>10</v>
      </c>
      <c r="C7" s="8"/>
      <c r="D7" s="8" t="s">
        <v>11</v>
      </c>
    </row>
    <row r="8" spans="1:4" ht="23.25" customHeight="1">
      <c r="A8" s="8" t="s">
        <v>12</v>
      </c>
      <c r="B8" s="8" t="s">
        <v>13</v>
      </c>
      <c r="C8" s="8"/>
      <c r="D8" s="8" t="s">
        <v>14</v>
      </c>
    </row>
    <row r="9" spans="1:4" ht="23.25" customHeight="1">
      <c r="A9" s="8" t="s">
        <v>15</v>
      </c>
      <c r="B9" s="8" t="s">
        <v>16</v>
      </c>
      <c r="C9" s="8"/>
      <c r="D9" s="8" t="s">
        <v>17</v>
      </c>
    </row>
    <row r="10" spans="1:4" ht="34.5" customHeight="1">
      <c r="A10" s="8" t="s">
        <v>18</v>
      </c>
      <c r="B10" s="8" t="s">
        <v>19</v>
      </c>
      <c r="C10" s="8"/>
      <c r="D10" s="8" t="s">
        <v>20</v>
      </c>
    </row>
    <row r="11" spans="1:4" ht="23.25" customHeight="1">
      <c r="A11" s="8" t="s">
        <v>21</v>
      </c>
      <c r="B11" s="8" t="s">
        <v>22</v>
      </c>
      <c r="C11" s="8"/>
      <c r="D11" s="8" t="s">
        <v>23</v>
      </c>
    </row>
    <row r="12" spans="1:4" ht="15" customHeight="1">
      <c r="A12" s="8" t="s">
        <v>24</v>
      </c>
      <c r="B12" s="8" t="s">
        <v>25</v>
      </c>
      <c r="C12" s="8"/>
      <c r="D12" s="8" t="s">
        <v>26</v>
      </c>
    </row>
    <row r="14" spans="1:4" ht="18" customHeight="1">
      <c r="A14" s="4" t="s">
        <v>27</v>
      </c>
      <c r="B14" s="4"/>
      <c r="C14" s="4"/>
      <c r="D14" s="4"/>
    </row>
    <row r="15" spans="1:4" ht="15" customHeight="1">
      <c r="A15" s="9" t="s">
        <v>28</v>
      </c>
      <c r="B15" s="9" t="s">
        <v>3</v>
      </c>
      <c r="C15" s="9" t="s">
        <v>29</v>
      </c>
      <c r="D15" s="9" t="s">
        <v>30</v>
      </c>
    </row>
    <row r="16" spans="1:4" ht="15" customHeight="1">
      <c r="A16" s="8" t="s">
        <v>31</v>
      </c>
      <c r="B16" s="8" t="s">
        <v>32</v>
      </c>
      <c r="C16" s="8">
        <v>4</v>
      </c>
      <c r="D16" s="8" t="s">
        <v>33</v>
      </c>
    </row>
    <row r="17" spans="1:4" ht="15" customHeight="1">
      <c r="A17" s="8" t="s">
        <v>34</v>
      </c>
      <c r="B17" s="8" t="s">
        <v>35</v>
      </c>
      <c r="C17" s="8">
        <v>2</v>
      </c>
      <c r="D17" s="8" t="s">
        <v>36</v>
      </c>
    </row>
    <row r="18" spans="1:4" ht="23.25" customHeight="1">
      <c r="A18" s="10" t="s">
        <v>37</v>
      </c>
      <c r="B18" s="10" t="s">
        <v>38</v>
      </c>
      <c r="C18" s="10">
        <v>1</v>
      </c>
      <c r="D18" s="10" t="s">
        <v>39</v>
      </c>
    </row>
    <row r="19" spans="1:4" ht="15" customHeight="1">
      <c r="A19" s="8" t="s">
        <v>40</v>
      </c>
      <c r="B19" s="8" t="s">
        <v>41</v>
      </c>
      <c r="C19" s="8">
        <v>4</v>
      </c>
      <c r="D19" s="8" t="s">
        <v>42</v>
      </c>
    </row>
    <row r="20" spans="1:4" ht="23.25" customHeight="1">
      <c r="A20" s="8" t="s">
        <v>43</v>
      </c>
      <c r="B20" s="8" t="s">
        <v>44</v>
      </c>
      <c r="C20" s="8">
        <v>2</v>
      </c>
      <c r="D20" s="8" t="s">
        <v>45</v>
      </c>
    </row>
    <row r="21" spans="1:4" ht="15" customHeight="1">
      <c r="A21" s="8" t="s">
        <v>46</v>
      </c>
      <c r="B21" s="8" t="s">
        <v>47</v>
      </c>
      <c r="C21" s="8">
        <v>3</v>
      </c>
      <c r="D21" s="8" t="s">
        <v>48</v>
      </c>
    </row>
    <row r="22" spans="1:4" ht="15" customHeight="1">
      <c r="A22" s="10" t="s">
        <v>49</v>
      </c>
      <c r="B22" s="10" t="s">
        <v>50</v>
      </c>
      <c r="C22" s="10">
        <v>4</v>
      </c>
      <c r="D22" s="10" t="s">
        <v>51</v>
      </c>
    </row>
    <row r="23" spans="1:4" ht="15" customHeight="1">
      <c r="A23" s="11" t="s">
        <v>52</v>
      </c>
      <c r="B23" s="12"/>
      <c r="C23" s="11">
        <f>SUM(C16:C22)</f>
        <v>20</v>
      </c>
      <c r="D23" s="12"/>
    </row>
    <row r="25" spans="1:4" ht="18" customHeight="1">
      <c r="A25" s="4" t="s">
        <v>53</v>
      </c>
      <c r="B25" s="4"/>
      <c r="C25" s="4"/>
      <c r="D25" s="4"/>
    </row>
    <row r="26" spans="1:4" ht="15" customHeight="1">
      <c r="A26" s="3" t="s">
        <v>54</v>
      </c>
      <c r="B26" s="3"/>
      <c r="C26" s="3"/>
      <c r="D26" s="3"/>
    </row>
    <row r="27" spans="1:4" ht="15" customHeight="1">
      <c r="A27" s="3" t="s">
        <v>55</v>
      </c>
      <c r="B27" s="3"/>
      <c r="C27" s="3"/>
      <c r="D27" s="3"/>
    </row>
    <row r="28" spans="1:4" ht="15" customHeight="1">
      <c r="A28" s="3" t="s">
        <v>56</v>
      </c>
      <c r="B28" s="3"/>
      <c r="C28" s="3"/>
      <c r="D28" s="3"/>
    </row>
    <row r="29" spans="1:4" ht="15" customHeight="1">
      <c r="A29" s="3" t="s">
        <v>57</v>
      </c>
      <c r="B29" s="3"/>
      <c r="C29" s="3"/>
      <c r="D29" s="3"/>
    </row>
    <row r="30" spans="1:4" ht="15" customHeight="1">
      <c r="A30" s="3" t="s">
        <v>58</v>
      </c>
      <c r="B30" s="3"/>
      <c r="C30" s="3"/>
      <c r="D30" s="3"/>
    </row>
    <row r="31" spans="1:4" ht="15" customHeight="1">
      <c r="A31" s="3" t="s">
        <v>59</v>
      </c>
      <c r="B31" s="3"/>
      <c r="C31" s="3"/>
      <c r="D31" s="3"/>
    </row>
    <row r="32" spans="1:4" ht="15" customHeight="1">
      <c r="A32" s="3" t="s">
        <v>60</v>
      </c>
      <c r="B32" s="3"/>
      <c r="C32" s="3"/>
      <c r="D32" s="3"/>
    </row>
    <row r="33" spans="1:4" ht="15" customHeight="1">
      <c r="A33" s="3" t="s">
        <v>61</v>
      </c>
      <c r="B33" s="3"/>
      <c r="C33" s="3"/>
      <c r="D33" s="3"/>
    </row>
    <row r="35" spans="1:4" ht="45.75" customHeight="1">
      <c r="A35" s="2" t="s">
        <v>62</v>
      </c>
      <c r="B35" s="2"/>
      <c r="C35" s="2"/>
      <c r="D35" s="2"/>
    </row>
  </sheetData>
  <mergeCells count="14">
    <mergeCell ref="A31:D31"/>
    <mergeCell ref="A32:D32"/>
    <mergeCell ref="A33:D33"/>
    <mergeCell ref="A35:D35"/>
    <mergeCell ref="A26:D26"/>
    <mergeCell ref="A27:D27"/>
    <mergeCell ref="A28:D28"/>
    <mergeCell ref="A29:D29"/>
    <mergeCell ref="A30:D30"/>
    <mergeCell ref="A1:D1"/>
    <mergeCell ref="A2:D2"/>
    <mergeCell ref="A4:D4"/>
    <mergeCell ref="A14:D14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G28"/>
  <sheetViews>
    <sheetView tabSelected="1" zoomScale="135" zoomScaleNormal="100" workbookViewId="0">
      <pane ySplit="4" topLeftCell="A8" activePane="bottomLeft" state="frozen"/>
      <selection pane="bottomLeft" activeCell="F37" sqref="F37"/>
    </sheetView>
  </sheetViews>
  <sheetFormatPr baseColWidth="10" defaultColWidth="8.6640625" defaultRowHeight="15"/>
  <cols>
    <col min="1" max="1" width="9" customWidth="1"/>
    <col min="2" max="2" width="34" customWidth="1"/>
    <col min="3" max="3" width="40" customWidth="1"/>
    <col min="4" max="4" width="22" customWidth="1"/>
    <col min="5" max="5" width="14" customWidth="1"/>
    <col min="6" max="6" width="18" customWidth="1"/>
    <col min="7" max="7" width="34" customWidth="1"/>
  </cols>
  <sheetData>
    <row r="1" spans="1:7" ht="24" customHeight="1">
      <c r="A1" s="7" t="s">
        <v>63</v>
      </c>
      <c r="B1" s="7"/>
      <c r="C1" s="7"/>
      <c r="D1" s="7"/>
      <c r="E1" s="7"/>
      <c r="F1" s="7"/>
      <c r="G1" s="7"/>
    </row>
    <row r="2" spans="1:7" ht="18" customHeight="1">
      <c r="A2" s="6" t="s">
        <v>64</v>
      </c>
      <c r="B2" s="6"/>
      <c r="C2" s="6"/>
      <c r="D2" s="6"/>
      <c r="E2" s="6"/>
      <c r="F2" s="6"/>
      <c r="G2" s="6"/>
    </row>
    <row r="4" spans="1:7" ht="15" customHeight="1">
      <c r="A4" s="9" t="s">
        <v>65</v>
      </c>
      <c r="B4" s="9" t="s">
        <v>66</v>
      </c>
      <c r="C4" s="9" t="s">
        <v>67</v>
      </c>
      <c r="D4" s="9" t="s">
        <v>68</v>
      </c>
      <c r="E4" s="9" t="s">
        <v>69</v>
      </c>
      <c r="F4" s="9" t="s">
        <v>70</v>
      </c>
      <c r="G4" s="9" t="s">
        <v>30</v>
      </c>
    </row>
    <row r="5" spans="1:7" ht="15" customHeight="1">
      <c r="A5" s="13" t="s">
        <v>71</v>
      </c>
      <c r="B5" s="14" t="s">
        <v>72</v>
      </c>
      <c r="C5" s="14" t="s">
        <v>73</v>
      </c>
      <c r="D5" s="15" t="s">
        <v>74</v>
      </c>
      <c r="E5" s="15" t="s">
        <v>75</v>
      </c>
      <c r="F5" s="14" t="s">
        <v>76</v>
      </c>
      <c r="G5" s="14" t="s">
        <v>77</v>
      </c>
    </row>
    <row r="6" spans="1:7" ht="15" customHeight="1">
      <c r="A6" s="13" t="s">
        <v>71</v>
      </c>
      <c r="B6" s="14" t="s">
        <v>78</v>
      </c>
      <c r="C6" s="14" t="s">
        <v>79</v>
      </c>
      <c r="D6" s="15" t="s">
        <v>80</v>
      </c>
      <c r="E6" s="15" t="s">
        <v>75</v>
      </c>
      <c r="F6" s="14" t="s">
        <v>81</v>
      </c>
      <c r="G6" s="14" t="s">
        <v>82</v>
      </c>
    </row>
    <row r="7" spans="1:7" ht="23.25" customHeight="1">
      <c r="A7" s="13" t="s">
        <v>71</v>
      </c>
      <c r="B7" s="14" t="s">
        <v>83</v>
      </c>
      <c r="C7" s="14" t="s">
        <v>84</v>
      </c>
      <c r="D7" s="15" t="s">
        <v>85</v>
      </c>
      <c r="E7" s="15" t="s">
        <v>75</v>
      </c>
      <c r="F7" s="14" t="s">
        <v>86</v>
      </c>
      <c r="G7" s="14" t="s">
        <v>87</v>
      </c>
    </row>
    <row r="8" spans="1:7" ht="23.25" customHeight="1">
      <c r="A8" s="16" t="s">
        <v>88</v>
      </c>
      <c r="B8" s="15" t="s">
        <v>89</v>
      </c>
      <c r="C8" s="15" t="s">
        <v>90</v>
      </c>
      <c r="D8" s="15" t="s">
        <v>91</v>
      </c>
      <c r="E8" s="15" t="s">
        <v>75</v>
      </c>
      <c r="F8" s="15"/>
      <c r="G8" s="15"/>
    </row>
    <row r="9" spans="1:7" ht="23.25" customHeight="1">
      <c r="A9" s="17" t="s">
        <v>88</v>
      </c>
      <c r="B9" s="8" t="s">
        <v>92</v>
      </c>
      <c r="C9" s="8" t="s">
        <v>93</v>
      </c>
      <c r="D9" s="8" t="s">
        <v>94</v>
      </c>
      <c r="E9" s="8" t="s">
        <v>75</v>
      </c>
      <c r="F9" s="8" t="s">
        <v>95</v>
      </c>
      <c r="G9" s="8"/>
    </row>
    <row r="10" spans="1:7" ht="23.25" customHeight="1">
      <c r="A10" s="18" t="s">
        <v>88</v>
      </c>
      <c r="B10" s="19" t="s">
        <v>96</v>
      </c>
      <c r="C10" s="19" t="s">
        <v>97</v>
      </c>
      <c r="D10" s="19" t="s">
        <v>98</v>
      </c>
      <c r="E10" s="19" t="s">
        <v>75</v>
      </c>
      <c r="F10" s="19" t="s">
        <v>99</v>
      </c>
      <c r="G10" s="19" t="s">
        <v>100</v>
      </c>
    </row>
    <row r="11" spans="1:7" ht="15" customHeight="1">
      <c r="A11" s="17" t="s">
        <v>88</v>
      </c>
      <c r="B11" s="8" t="s">
        <v>101</v>
      </c>
      <c r="C11" s="8" t="s">
        <v>102</v>
      </c>
      <c r="D11" s="8" t="s">
        <v>103</v>
      </c>
      <c r="E11" s="8" t="s">
        <v>104</v>
      </c>
      <c r="F11" s="8"/>
      <c r="G11" s="8" t="s">
        <v>105</v>
      </c>
    </row>
    <row r="12" spans="1:7" ht="23.25" customHeight="1">
      <c r="A12" s="18" t="s">
        <v>88</v>
      </c>
      <c r="B12" s="19" t="s">
        <v>106</v>
      </c>
      <c r="C12" s="19" t="s">
        <v>107</v>
      </c>
      <c r="D12" s="19" t="s">
        <v>108</v>
      </c>
      <c r="E12" s="19" t="s">
        <v>75</v>
      </c>
      <c r="F12" s="19"/>
      <c r="G12" s="19" t="s">
        <v>109</v>
      </c>
    </row>
    <row r="13" spans="1:7" ht="23.25" customHeight="1">
      <c r="A13" s="17" t="s">
        <v>110</v>
      </c>
      <c r="B13" s="8" t="s">
        <v>111</v>
      </c>
      <c r="C13" s="8" t="s">
        <v>112</v>
      </c>
      <c r="D13" s="8" t="s">
        <v>113</v>
      </c>
      <c r="E13" s="8" t="s">
        <v>75</v>
      </c>
      <c r="F13" s="8"/>
      <c r="G13" s="8" t="s">
        <v>114</v>
      </c>
    </row>
    <row r="14" spans="1:7" ht="15" customHeight="1">
      <c r="A14" s="18" t="s">
        <v>110</v>
      </c>
      <c r="B14" s="19" t="s">
        <v>115</v>
      </c>
      <c r="C14" s="19" t="s">
        <v>116</v>
      </c>
      <c r="D14" s="15" t="s">
        <v>117</v>
      </c>
      <c r="E14" s="15" t="s">
        <v>75</v>
      </c>
      <c r="F14" s="14" t="s">
        <v>118</v>
      </c>
      <c r="G14" s="14" t="s">
        <v>119</v>
      </c>
    </row>
    <row r="15" spans="1:7" ht="15" customHeight="1">
      <c r="A15" s="17" t="s">
        <v>110</v>
      </c>
      <c r="B15" s="8" t="s">
        <v>120</v>
      </c>
      <c r="C15" s="8" t="s">
        <v>121</v>
      </c>
      <c r="D15" s="8" t="s">
        <v>122</v>
      </c>
      <c r="E15" s="8" t="s">
        <v>123</v>
      </c>
      <c r="F15" s="8"/>
      <c r="G15" s="8" t="s">
        <v>124</v>
      </c>
    </row>
    <row r="16" spans="1:7" ht="15" customHeight="1">
      <c r="A16" s="18" t="s">
        <v>110</v>
      </c>
      <c r="B16" s="19" t="s">
        <v>125</v>
      </c>
      <c r="C16" s="19" t="s">
        <v>126</v>
      </c>
      <c r="D16" s="19" t="s">
        <v>127</v>
      </c>
      <c r="E16" s="19" t="s">
        <v>75</v>
      </c>
      <c r="F16" s="19" t="s">
        <v>676</v>
      </c>
      <c r="G16" s="19" t="s">
        <v>677</v>
      </c>
    </row>
    <row r="17" spans="1:7" ht="15" customHeight="1">
      <c r="A17" s="17" t="s">
        <v>110</v>
      </c>
      <c r="B17" s="8" t="s">
        <v>129</v>
      </c>
      <c r="C17" s="8" t="s">
        <v>130</v>
      </c>
      <c r="D17" s="8" t="s">
        <v>131</v>
      </c>
      <c r="E17" s="8" t="s">
        <v>128</v>
      </c>
      <c r="F17" s="8"/>
      <c r="G17" s="8" t="s">
        <v>132</v>
      </c>
    </row>
    <row r="18" spans="1:7" ht="15" customHeight="1">
      <c r="A18" s="18" t="s">
        <v>133</v>
      </c>
      <c r="B18" s="19" t="s">
        <v>134</v>
      </c>
      <c r="C18" s="19" t="s">
        <v>135</v>
      </c>
      <c r="D18" s="19" t="s">
        <v>136</v>
      </c>
      <c r="E18" s="19" t="s">
        <v>128</v>
      </c>
      <c r="F18" s="19"/>
      <c r="G18" s="19"/>
    </row>
    <row r="19" spans="1:7" ht="15" customHeight="1">
      <c r="A19" s="17" t="s">
        <v>133</v>
      </c>
      <c r="B19" s="8" t="s">
        <v>137</v>
      </c>
      <c r="C19" s="8" t="s">
        <v>138</v>
      </c>
      <c r="D19" s="8" t="s">
        <v>136</v>
      </c>
      <c r="E19" s="8" t="s">
        <v>128</v>
      </c>
      <c r="F19" s="8"/>
      <c r="G19" s="8"/>
    </row>
    <row r="20" spans="1:7" ht="15" customHeight="1">
      <c r="A20" s="18" t="s">
        <v>133</v>
      </c>
      <c r="B20" s="19" t="s">
        <v>139</v>
      </c>
      <c r="C20" s="19" t="s">
        <v>140</v>
      </c>
      <c r="D20" s="19" t="s">
        <v>141</v>
      </c>
      <c r="E20" s="19" t="s">
        <v>128</v>
      </c>
      <c r="F20" s="19"/>
      <c r="G20" s="19" t="s">
        <v>142</v>
      </c>
    </row>
    <row r="21" spans="1:7" ht="15" customHeight="1">
      <c r="A21" s="18" t="s">
        <v>71</v>
      </c>
      <c r="B21" s="19" t="s">
        <v>143</v>
      </c>
      <c r="C21" s="19" t="s">
        <v>144</v>
      </c>
      <c r="D21" s="19" t="s">
        <v>145</v>
      </c>
      <c r="E21" s="19" t="s">
        <v>128</v>
      </c>
      <c r="F21" s="19"/>
      <c r="G21" s="19" t="s">
        <v>146</v>
      </c>
    </row>
    <row r="22" spans="1:7" ht="15" customHeight="1">
      <c r="A22" s="18" t="s">
        <v>88</v>
      </c>
      <c r="B22" s="19" t="s">
        <v>147</v>
      </c>
      <c r="C22" s="19" t="s">
        <v>148</v>
      </c>
      <c r="D22" s="19" t="s">
        <v>149</v>
      </c>
      <c r="E22" s="19" t="s">
        <v>128</v>
      </c>
      <c r="F22" s="19"/>
      <c r="G22" s="19" t="s">
        <v>150</v>
      </c>
    </row>
    <row r="23" spans="1:7" ht="15" customHeight="1">
      <c r="A23" s="18" t="s">
        <v>88</v>
      </c>
      <c r="B23" s="19" t="s">
        <v>151</v>
      </c>
      <c r="C23" s="19" t="s">
        <v>152</v>
      </c>
      <c r="D23" s="19" t="s">
        <v>153</v>
      </c>
      <c r="E23" s="19" t="s">
        <v>128</v>
      </c>
      <c r="F23" s="19"/>
      <c r="G23" s="19" t="s">
        <v>154</v>
      </c>
    </row>
    <row r="24" spans="1:7" ht="15" customHeight="1">
      <c r="A24" s="18" t="s">
        <v>110</v>
      </c>
      <c r="B24" s="19" t="s">
        <v>155</v>
      </c>
      <c r="C24" s="19" t="s">
        <v>156</v>
      </c>
      <c r="D24" s="19" t="s">
        <v>157</v>
      </c>
      <c r="E24" s="19" t="s">
        <v>128</v>
      </c>
      <c r="F24" s="19"/>
      <c r="G24" s="19" t="s">
        <v>158</v>
      </c>
    </row>
    <row r="25" spans="1:7" ht="15" customHeight="1">
      <c r="A25" s="18" t="s">
        <v>133</v>
      </c>
      <c r="B25" s="19" t="s">
        <v>159</v>
      </c>
      <c r="C25" s="19" t="s">
        <v>160</v>
      </c>
      <c r="D25" s="19" t="s">
        <v>103</v>
      </c>
      <c r="E25" s="19" t="s">
        <v>123</v>
      </c>
      <c r="F25" s="19"/>
      <c r="G25" s="19" t="s">
        <v>161</v>
      </c>
    </row>
    <row r="26" spans="1:7" ht="15" customHeight="1">
      <c r="A26" s="18" t="s">
        <v>133</v>
      </c>
      <c r="B26" s="19" t="s">
        <v>162</v>
      </c>
      <c r="C26" s="19" t="s">
        <v>163</v>
      </c>
      <c r="D26" s="19" t="s">
        <v>164</v>
      </c>
      <c r="E26" s="19" t="s">
        <v>123</v>
      </c>
      <c r="F26" s="19"/>
      <c r="G26" s="19" t="s">
        <v>165</v>
      </c>
    </row>
    <row r="27" spans="1:7" ht="15" customHeight="1">
      <c r="A27" s="18" t="s">
        <v>133</v>
      </c>
      <c r="B27" s="19" t="s">
        <v>166</v>
      </c>
      <c r="C27" s="19" t="s">
        <v>167</v>
      </c>
      <c r="D27" s="19" t="s">
        <v>168</v>
      </c>
      <c r="E27" s="19" t="s">
        <v>123</v>
      </c>
      <c r="F27" s="19"/>
      <c r="G27" s="19" t="s">
        <v>169</v>
      </c>
    </row>
    <row r="28" spans="1:7" ht="15" customHeight="1">
      <c r="A28" s="18" t="s">
        <v>133</v>
      </c>
      <c r="B28" s="19" t="s">
        <v>170</v>
      </c>
      <c r="C28" s="19" t="s">
        <v>171</v>
      </c>
      <c r="D28" s="19" t="s">
        <v>103</v>
      </c>
      <c r="E28" s="19" t="s">
        <v>172</v>
      </c>
      <c r="F28" s="19"/>
      <c r="G28" s="19" t="s">
        <v>173</v>
      </c>
    </row>
  </sheetData>
  <mergeCells count="2">
    <mergeCell ref="A1:G1"/>
    <mergeCell ref="A2:G2"/>
  </mergeCells>
  <dataValidations count="1">
    <dataValidation type="list" allowBlank="1" sqref="E5:E20" xr:uid="{00000000-0002-0000-0100-000000000000}">
      <formula1>"To do,In progress,Booked,Paid,N/A"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I28"/>
  <sheetViews>
    <sheetView zoomScaleNormal="100" workbookViewId="0">
      <pane ySplit="12" topLeftCell="A13" activePane="bottomLeft" state="frozen"/>
      <selection pane="bottomLeft" activeCell="J17" sqref="J17"/>
    </sheetView>
  </sheetViews>
  <sheetFormatPr baseColWidth="10" defaultColWidth="8.6640625" defaultRowHeight="15"/>
  <cols>
    <col min="1" max="1" width="12" customWidth="1"/>
    <col min="2" max="2" width="7" customWidth="1"/>
    <col min="3" max="4" width="30" customWidth="1"/>
    <col min="5" max="5" width="12" customWidth="1"/>
    <col min="6" max="6" width="18" customWidth="1"/>
    <col min="7" max="7" width="14" customWidth="1"/>
    <col min="8" max="8" width="13" customWidth="1"/>
    <col min="9" max="9" width="46" customWidth="1"/>
  </cols>
  <sheetData>
    <row r="1" spans="1:9" ht="24" customHeight="1">
      <c r="A1" s="7" t="s">
        <v>174</v>
      </c>
      <c r="B1" s="7"/>
      <c r="C1" s="7"/>
      <c r="D1" s="7"/>
      <c r="E1" s="7"/>
      <c r="F1" s="7"/>
      <c r="G1" s="7"/>
      <c r="H1" s="7"/>
      <c r="I1" s="7"/>
    </row>
    <row r="2" spans="1:9" ht="18" customHeight="1">
      <c r="A2" s="6" t="s">
        <v>175</v>
      </c>
      <c r="B2" s="6"/>
      <c r="C2" s="6"/>
      <c r="D2" s="6"/>
      <c r="E2" s="6"/>
      <c r="F2" s="6"/>
      <c r="G2" s="6"/>
      <c r="H2" s="6"/>
      <c r="I2" s="6"/>
    </row>
    <row r="4" spans="1:9" ht="18" customHeight="1">
      <c r="A4" s="4" t="s">
        <v>176</v>
      </c>
      <c r="B4" s="4"/>
      <c r="C4" s="4"/>
      <c r="D4" s="4"/>
      <c r="E4" s="4"/>
      <c r="F4" s="4"/>
      <c r="G4" s="4"/>
      <c r="H4" s="4"/>
      <c r="I4" s="4"/>
    </row>
    <row r="5" spans="1:9" ht="15" customHeight="1">
      <c r="A5" s="9" t="s">
        <v>177</v>
      </c>
      <c r="B5" s="9" t="s">
        <v>178</v>
      </c>
      <c r="C5" s="9" t="s">
        <v>179</v>
      </c>
      <c r="D5" s="9" t="s">
        <v>180</v>
      </c>
      <c r="E5" s="9" t="s">
        <v>181</v>
      </c>
      <c r="F5" s="9" t="s">
        <v>182</v>
      </c>
      <c r="G5" s="9" t="s">
        <v>183</v>
      </c>
      <c r="H5" s="9" t="s">
        <v>69</v>
      </c>
      <c r="I5" s="9" t="s">
        <v>30</v>
      </c>
    </row>
    <row r="6" spans="1:9" ht="28">
      <c r="A6" s="20" t="s">
        <v>184</v>
      </c>
      <c r="B6" s="20" t="s">
        <v>185</v>
      </c>
      <c r="C6" s="20" t="s">
        <v>186</v>
      </c>
      <c r="D6" s="20" t="s">
        <v>187</v>
      </c>
      <c r="E6" s="20" t="s">
        <v>188</v>
      </c>
      <c r="F6" s="20" t="s">
        <v>189</v>
      </c>
      <c r="G6" s="20" t="s">
        <v>103</v>
      </c>
      <c r="H6" s="20" t="s">
        <v>75</v>
      </c>
      <c r="I6" s="20" t="s">
        <v>190</v>
      </c>
    </row>
    <row r="7" spans="1:9" ht="42">
      <c r="A7" s="20" t="s">
        <v>191</v>
      </c>
      <c r="B7" s="20" t="s">
        <v>192</v>
      </c>
      <c r="C7" s="20" t="s">
        <v>193</v>
      </c>
      <c r="D7" s="20" t="s">
        <v>194</v>
      </c>
      <c r="E7" s="20" t="s">
        <v>195</v>
      </c>
      <c r="F7" s="20" t="s">
        <v>196</v>
      </c>
      <c r="G7" s="20" t="s">
        <v>103</v>
      </c>
      <c r="H7" s="20" t="s">
        <v>75</v>
      </c>
      <c r="I7" s="20" t="s">
        <v>197</v>
      </c>
    </row>
    <row r="8" spans="1:9" ht="23.25" customHeight="1">
      <c r="A8" s="8" t="s">
        <v>198</v>
      </c>
      <c r="B8" s="8" t="s">
        <v>199</v>
      </c>
      <c r="C8" s="8" t="s">
        <v>200</v>
      </c>
      <c r="D8" s="8" t="s">
        <v>201</v>
      </c>
      <c r="E8" s="8" t="s">
        <v>202</v>
      </c>
      <c r="F8" s="8" t="s">
        <v>203</v>
      </c>
      <c r="G8" s="8" t="s">
        <v>103</v>
      </c>
      <c r="H8" s="8" t="s">
        <v>75</v>
      </c>
      <c r="I8" s="8" t="s">
        <v>204</v>
      </c>
    </row>
    <row r="9" spans="1:9" ht="23.25" customHeight="1">
      <c r="A9" s="20" t="s">
        <v>205</v>
      </c>
      <c r="B9" s="20" t="s">
        <v>185</v>
      </c>
      <c r="C9" s="20" t="s">
        <v>206</v>
      </c>
      <c r="D9" s="20" t="s">
        <v>207</v>
      </c>
      <c r="E9" s="20" t="s">
        <v>208</v>
      </c>
      <c r="F9" s="20" t="s">
        <v>189</v>
      </c>
      <c r="G9" s="20" t="s">
        <v>103</v>
      </c>
      <c r="H9" s="20" t="s">
        <v>75</v>
      </c>
      <c r="I9" s="20" t="s">
        <v>209</v>
      </c>
    </row>
    <row r="11" spans="1:9" ht="18" customHeight="1">
      <c r="A11" s="4" t="s">
        <v>210</v>
      </c>
      <c r="B11" s="4"/>
      <c r="C11" s="4"/>
      <c r="D11" s="4"/>
      <c r="E11" s="4"/>
      <c r="F11" s="4"/>
      <c r="G11" s="4"/>
      <c r="H11" s="4"/>
      <c r="I11" s="4"/>
    </row>
    <row r="12" spans="1:9" ht="15" customHeight="1">
      <c r="A12" s="9" t="s">
        <v>177</v>
      </c>
      <c r="B12" s="9" t="s">
        <v>178</v>
      </c>
      <c r="C12" s="9" t="s">
        <v>179</v>
      </c>
      <c r="D12" s="9" t="s">
        <v>180</v>
      </c>
      <c r="E12" s="9" t="s">
        <v>181</v>
      </c>
      <c r="F12" s="9" t="s">
        <v>182</v>
      </c>
      <c r="G12" s="9" t="s">
        <v>183</v>
      </c>
      <c r="H12" s="9" t="s">
        <v>69</v>
      </c>
      <c r="I12" s="9" t="s">
        <v>30</v>
      </c>
    </row>
    <row r="13" spans="1:9" ht="56">
      <c r="A13" s="8" t="s">
        <v>211</v>
      </c>
      <c r="B13" s="8" t="s">
        <v>199</v>
      </c>
      <c r="C13" s="8" t="s">
        <v>212</v>
      </c>
      <c r="D13" s="8" t="s">
        <v>213</v>
      </c>
      <c r="E13" s="8" t="s">
        <v>214</v>
      </c>
      <c r="F13" s="8" t="s">
        <v>215</v>
      </c>
      <c r="G13" s="8" t="s">
        <v>216</v>
      </c>
      <c r="H13" s="8" t="s">
        <v>123</v>
      </c>
      <c r="I13" s="8" t="s">
        <v>217</v>
      </c>
    </row>
    <row r="14" spans="1:9" ht="23.25" customHeight="1">
      <c r="A14" s="8" t="s">
        <v>191</v>
      </c>
      <c r="B14" s="8" t="s">
        <v>192</v>
      </c>
      <c r="C14" s="8" t="s">
        <v>218</v>
      </c>
      <c r="D14" s="8" t="s">
        <v>219</v>
      </c>
      <c r="E14" s="8" t="s">
        <v>220</v>
      </c>
      <c r="F14" s="8" t="s">
        <v>221</v>
      </c>
      <c r="G14" s="8" t="s">
        <v>222</v>
      </c>
      <c r="H14" s="8" t="s">
        <v>128</v>
      </c>
      <c r="I14" s="8" t="s">
        <v>223</v>
      </c>
    </row>
    <row r="15" spans="1:9" ht="23.25" customHeight="1">
      <c r="A15" s="8" t="s">
        <v>224</v>
      </c>
      <c r="B15" s="8" t="s">
        <v>185</v>
      </c>
      <c r="C15" s="8" t="s">
        <v>225</v>
      </c>
      <c r="D15" s="8" t="s">
        <v>226</v>
      </c>
      <c r="E15" s="8" t="s">
        <v>227</v>
      </c>
      <c r="F15" s="8" t="s">
        <v>103</v>
      </c>
      <c r="G15" s="8" t="s">
        <v>216</v>
      </c>
      <c r="H15" s="8" t="s">
        <v>228</v>
      </c>
      <c r="I15" s="8" t="s">
        <v>229</v>
      </c>
    </row>
    <row r="16" spans="1:9" ht="70">
      <c r="A16" s="8" t="s">
        <v>198</v>
      </c>
      <c r="B16" s="8" t="s">
        <v>199</v>
      </c>
      <c r="C16" s="8" t="s">
        <v>230</v>
      </c>
      <c r="D16" s="8" t="s">
        <v>231</v>
      </c>
      <c r="E16" s="8" t="s">
        <v>232</v>
      </c>
      <c r="F16" s="8" t="s">
        <v>103</v>
      </c>
      <c r="G16" s="8" t="s">
        <v>216</v>
      </c>
      <c r="H16" s="8" t="s">
        <v>228</v>
      </c>
      <c r="I16" s="8" t="s">
        <v>233</v>
      </c>
    </row>
    <row r="17" spans="1:9">
      <c r="A17" s="8" t="s">
        <v>198</v>
      </c>
      <c r="B17" s="8" t="s">
        <v>199</v>
      </c>
      <c r="C17" s="8" t="s">
        <v>234</v>
      </c>
      <c r="D17" s="8" t="s">
        <v>235</v>
      </c>
      <c r="E17" s="8" t="s">
        <v>236</v>
      </c>
      <c r="F17" s="8" t="s">
        <v>237</v>
      </c>
      <c r="G17" s="8" t="s">
        <v>216</v>
      </c>
      <c r="H17" s="8" t="s">
        <v>128</v>
      </c>
      <c r="I17" s="8" t="s">
        <v>238</v>
      </c>
    </row>
    <row r="18" spans="1:9" ht="84">
      <c r="A18" s="8" t="s">
        <v>239</v>
      </c>
      <c r="B18" s="8" t="s">
        <v>185</v>
      </c>
      <c r="C18" s="8" t="s">
        <v>240</v>
      </c>
      <c r="D18" s="8" t="s">
        <v>241</v>
      </c>
      <c r="E18" s="8" t="s">
        <v>242</v>
      </c>
      <c r="F18" s="8" t="s">
        <v>243</v>
      </c>
      <c r="G18" s="8" t="s">
        <v>244</v>
      </c>
      <c r="H18" s="20" t="s">
        <v>75</v>
      </c>
      <c r="I18" s="8" t="s">
        <v>245</v>
      </c>
    </row>
    <row r="19" spans="1:9" ht="112">
      <c r="A19" s="8" t="s">
        <v>239</v>
      </c>
      <c r="B19" s="8" t="s">
        <v>185</v>
      </c>
      <c r="C19" s="8" t="s">
        <v>246</v>
      </c>
      <c r="D19" s="8" t="s">
        <v>247</v>
      </c>
      <c r="E19" s="8" t="s">
        <v>248</v>
      </c>
      <c r="F19" s="8" t="s">
        <v>249</v>
      </c>
      <c r="G19" s="8" t="s">
        <v>250</v>
      </c>
      <c r="H19" s="20" t="s">
        <v>75</v>
      </c>
      <c r="I19" s="8" t="s">
        <v>251</v>
      </c>
    </row>
    <row r="20" spans="1:9" ht="112">
      <c r="A20" s="14" t="s">
        <v>252</v>
      </c>
      <c r="B20" s="14" t="s">
        <v>253</v>
      </c>
      <c r="C20" s="14" t="s">
        <v>254</v>
      </c>
      <c r="D20" s="14" t="s">
        <v>255</v>
      </c>
      <c r="E20" s="14" t="s">
        <v>256</v>
      </c>
      <c r="F20" s="14" t="s">
        <v>257</v>
      </c>
      <c r="G20" s="14" t="s">
        <v>103</v>
      </c>
      <c r="H20" s="20" t="s">
        <v>75</v>
      </c>
      <c r="I20" s="14" t="s">
        <v>258</v>
      </c>
    </row>
    <row r="21" spans="1:9" ht="126">
      <c r="A21" s="14" t="s">
        <v>252</v>
      </c>
      <c r="B21" s="14" t="s">
        <v>253</v>
      </c>
      <c r="C21" s="14" t="s">
        <v>259</v>
      </c>
      <c r="D21" s="14" t="s">
        <v>260</v>
      </c>
      <c r="E21" s="14" t="s">
        <v>261</v>
      </c>
      <c r="F21" s="14" t="s">
        <v>262</v>
      </c>
      <c r="G21" s="14" t="s">
        <v>103</v>
      </c>
      <c r="H21" s="20" t="s">
        <v>75</v>
      </c>
      <c r="I21" s="14" t="s">
        <v>263</v>
      </c>
    </row>
    <row r="22" spans="1:9" ht="23.25" customHeight="1">
      <c r="A22" s="8" t="s">
        <v>205</v>
      </c>
      <c r="B22" s="8" t="s">
        <v>185</v>
      </c>
      <c r="C22" s="8" t="s">
        <v>264</v>
      </c>
      <c r="D22" s="8" t="s">
        <v>265</v>
      </c>
      <c r="E22" s="8" t="s">
        <v>214</v>
      </c>
      <c r="F22" s="8" t="s">
        <v>215</v>
      </c>
      <c r="G22" s="8" t="s">
        <v>266</v>
      </c>
      <c r="H22" s="8" t="s">
        <v>128</v>
      </c>
      <c r="I22" s="8" t="s">
        <v>267</v>
      </c>
    </row>
    <row r="24" spans="1:9" ht="18" customHeight="1">
      <c r="A24" s="4" t="s">
        <v>268</v>
      </c>
      <c r="B24" s="4"/>
      <c r="C24" s="4"/>
      <c r="D24" s="4"/>
      <c r="E24" s="4"/>
      <c r="F24" s="4"/>
      <c r="G24" s="4"/>
      <c r="H24" s="4"/>
      <c r="I24" s="4"/>
    </row>
    <row r="25" spans="1:9" ht="43.5" customHeight="1">
      <c r="A25" s="17" t="s">
        <v>269</v>
      </c>
      <c r="B25" s="1" t="s">
        <v>270</v>
      </c>
      <c r="C25" s="1"/>
      <c r="D25" s="1"/>
      <c r="E25" s="1"/>
      <c r="F25" s="1"/>
      <c r="G25" s="1"/>
      <c r="H25" s="1"/>
      <c r="I25" s="1"/>
    </row>
    <row r="26" spans="1:9" ht="43.5" customHeight="1">
      <c r="A26" s="17" t="s">
        <v>271</v>
      </c>
      <c r="B26" s="1" t="s">
        <v>272</v>
      </c>
      <c r="C26" s="1"/>
      <c r="D26" s="1"/>
      <c r="E26" s="1"/>
      <c r="F26" s="1"/>
      <c r="G26" s="1"/>
      <c r="H26" s="1"/>
      <c r="I26" s="1"/>
    </row>
    <row r="27" spans="1:9" ht="43.5" customHeight="1">
      <c r="A27" s="17" t="s">
        <v>273</v>
      </c>
      <c r="B27" s="1" t="s">
        <v>274</v>
      </c>
      <c r="C27" s="1"/>
      <c r="D27" s="1"/>
      <c r="E27" s="1"/>
      <c r="F27" s="1"/>
      <c r="G27" s="1"/>
      <c r="H27" s="1"/>
      <c r="I27" s="1"/>
    </row>
    <row r="28" spans="1:9" ht="43.5" customHeight="1">
      <c r="A28" s="17" t="s">
        <v>275</v>
      </c>
      <c r="B28" s="1" t="s">
        <v>276</v>
      </c>
      <c r="C28" s="1"/>
      <c r="D28" s="1"/>
      <c r="E28" s="1"/>
      <c r="F28" s="1"/>
      <c r="G28" s="1"/>
      <c r="H28" s="1"/>
      <c r="I28" s="1"/>
    </row>
  </sheetData>
  <mergeCells count="9">
    <mergeCell ref="B25:I25"/>
    <mergeCell ref="B26:I26"/>
    <mergeCell ref="B27:I27"/>
    <mergeCell ref="B28:I28"/>
    <mergeCell ref="A1:I1"/>
    <mergeCell ref="A2:I2"/>
    <mergeCell ref="A4:I4"/>
    <mergeCell ref="A11:I11"/>
    <mergeCell ref="A24:I24"/>
  </mergeCells>
  <dataValidations count="1">
    <dataValidation type="list" allowBlank="1" sqref="H6:H9 H13:H22" xr:uid="{00000000-0002-0000-0200-000000000000}">
      <formula1>"To do,In progress,Booked,Paid,N/A"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5EA7"/>
  </sheetPr>
  <dimension ref="A1:K1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/>
  <cols>
    <col min="1" max="1" width="30" customWidth="1"/>
    <col min="2" max="3" width="14" customWidth="1"/>
    <col min="4" max="4" width="7" customWidth="1"/>
    <col min="5" max="5" width="14" customWidth="1"/>
    <col min="6" max="6" width="28" customWidth="1"/>
    <col min="7" max="7" width="12" customWidth="1"/>
    <col min="8" max="8" width="16" customWidth="1"/>
    <col min="9" max="9" width="12" customWidth="1"/>
    <col min="10" max="10" width="16" customWidth="1"/>
    <col min="11" max="11" width="34" customWidth="1"/>
  </cols>
  <sheetData>
    <row r="1" spans="1:11" ht="24" customHeight="1">
      <c r="A1" s="7" t="s">
        <v>277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 customHeight="1">
      <c r="A2" s="6" t="s">
        <v>278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ht="15" customHeight="1">
      <c r="A4" s="9" t="s">
        <v>279</v>
      </c>
      <c r="B4" s="9" t="s">
        <v>280</v>
      </c>
      <c r="C4" s="9" t="s">
        <v>281</v>
      </c>
      <c r="D4" s="9" t="s">
        <v>29</v>
      </c>
      <c r="E4" s="9" t="s">
        <v>282</v>
      </c>
      <c r="F4" s="9" t="s">
        <v>283</v>
      </c>
      <c r="G4" s="9" t="s">
        <v>284</v>
      </c>
      <c r="H4" s="9" t="s">
        <v>285</v>
      </c>
      <c r="I4" s="9" t="s">
        <v>69</v>
      </c>
      <c r="J4" s="9" t="s">
        <v>70</v>
      </c>
      <c r="K4" s="9" t="s">
        <v>30</v>
      </c>
    </row>
    <row r="5" spans="1:11" ht="34.5" customHeight="1">
      <c r="A5" s="8" t="s">
        <v>286</v>
      </c>
      <c r="B5" s="8" t="s">
        <v>287</v>
      </c>
      <c r="C5" s="8" t="s">
        <v>288</v>
      </c>
      <c r="D5" s="8">
        <v>4</v>
      </c>
      <c r="E5" s="8" t="s">
        <v>289</v>
      </c>
      <c r="F5" s="8" t="s">
        <v>290</v>
      </c>
      <c r="G5" s="8" t="s">
        <v>291</v>
      </c>
      <c r="H5" s="8" t="s">
        <v>292</v>
      </c>
      <c r="I5" s="8" t="s">
        <v>293</v>
      </c>
      <c r="J5" s="8" t="s">
        <v>294</v>
      </c>
      <c r="K5" s="8" t="s">
        <v>295</v>
      </c>
    </row>
    <row r="6" spans="1:11" ht="15" customHeight="1">
      <c r="A6" s="8" t="s">
        <v>296</v>
      </c>
      <c r="B6" s="8" t="s">
        <v>288</v>
      </c>
      <c r="C6" s="8" t="s">
        <v>297</v>
      </c>
      <c r="D6" s="8">
        <v>2</v>
      </c>
      <c r="E6" s="8" t="s">
        <v>289</v>
      </c>
      <c r="F6" s="8" t="s">
        <v>298</v>
      </c>
      <c r="G6" s="8" t="s">
        <v>299</v>
      </c>
      <c r="H6" s="8" t="s">
        <v>300</v>
      </c>
      <c r="I6" s="8" t="s">
        <v>293</v>
      </c>
      <c r="J6" s="8" t="s">
        <v>301</v>
      </c>
      <c r="K6" s="8" t="s">
        <v>302</v>
      </c>
    </row>
    <row r="7" spans="1:11" ht="23.25" customHeight="1">
      <c r="A7" s="10" t="s">
        <v>303</v>
      </c>
      <c r="B7" s="10" t="s">
        <v>297</v>
      </c>
      <c r="C7" s="10" t="s">
        <v>304</v>
      </c>
      <c r="D7" s="10">
        <v>1</v>
      </c>
      <c r="E7" s="10" t="s">
        <v>305</v>
      </c>
      <c r="F7" s="10" t="s">
        <v>306</v>
      </c>
      <c r="G7" s="10" t="s">
        <v>307</v>
      </c>
      <c r="H7" s="10" t="s">
        <v>308</v>
      </c>
      <c r="I7" s="10" t="s">
        <v>293</v>
      </c>
      <c r="J7" s="10" t="s">
        <v>309</v>
      </c>
      <c r="K7" s="10" t="s">
        <v>310</v>
      </c>
    </row>
    <row r="8" spans="1:11" ht="15" customHeight="1">
      <c r="A8" s="8" t="s">
        <v>311</v>
      </c>
      <c r="B8" s="8" t="s">
        <v>304</v>
      </c>
      <c r="C8" s="8" t="s">
        <v>312</v>
      </c>
      <c r="D8" s="8">
        <v>4</v>
      </c>
      <c r="E8" s="8" t="s">
        <v>289</v>
      </c>
      <c r="F8" s="8" t="s">
        <v>313</v>
      </c>
      <c r="G8" s="8" t="s">
        <v>314</v>
      </c>
      <c r="H8" s="8" t="s">
        <v>315</v>
      </c>
      <c r="I8" s="8" t="s">
        <v>293</v>
      </c>
      <c r="J8" s="8" t="s">
        <v>316</v>
      </c>
      <c r="K8" s="8" t="s">
        <v>317</v>
      </c>
    </row>
    <row r="9" spans="1:11" ht="15" customHeight="1">
      <c r="A9" s="8" t="s">
        <v>318</v>
      </c>
      <c r="B9" s="8" t="s">
        <v>312</v>
      </c>
      <c r="C9" s="8" t="s">
        <v>319</v>
      </c>
      <c r="D9" s="8">
        <v>2</v>
      </c>
      <c r="E9" s="8" t="s">
        <v>289</v>
      </c>
      <c r="F9" s="8" t="s">
        <v>320</v>
      </c>
      <c r="G9" s="8" t="s">
        <v>321</v>
      </c>
      <c r="H9" s="8" t="s">
        <v>322</v>
      </c>
      <c r="I9" s="8" t="s">
        <v>293</v>
      </c>
      <c r="J9" s="8" t="s">
        <v>323</v>
      </c>
      <c r="K9" s="8" t="s">
        <v>324</v>
      </c>
    </row>
    <row r="10" spans="1:11" ht="15" customHeight="1">
      <c r="A10" s="8" t="s">
        <v>325</v>
      </c>
      <c r="B10" s="8" t="s">
        <v>319</v>
      </c>
      <c r="C10" s="8" t="s">
        <v>326</v>
      </c>
      <c r="D10" s="8">
        <v>2</v>
      </c>
      <c r="E10" s="8" t="s">
        <v>289</v>
      </c>
      <c r="F10" s="8" t="s">
        <v>327</v>
      </c>
      <c r="G10" s="8" t="s">
        <v>328</v>
      </c>
      <c r="H10" s="8" t="s">
        <v>329</v>
      </c>
      <c r="I10" s="8" t="s">
        <v>293</v>
      </c>
      <c r="J10" s="8" t="s">
        <v>330</v>
      </c>
      <c r="K10" s="8" t="s">
        <v>331</v>
      </c>
    </row>
    <row r="11" spans="1:11" ht="15" customHeight="1">
      <c r="A11" s="8" t="s">
        <v>332</v>
      </c>
      <c r="B11" s="8" t="s">
        <v>326</v>
      </c>
      <c r="C11" s="8" t="s">
        <v>333</v>
      </c>
      <c r="D11" s="8">
        <v>1</v>
      </c>
      <c r="E11" s="8" t="s">
        <v>305</v>
      </c>
      <c r="F11" s="8" t="s">
        <v>334</v>
      </c>
      <c r="G11" s="8" t="s">
        <v>335</v>
      </c>
      <c r="H11" s="8" t="s">
        <v>336</v>
      </c>
      <c r="I11" s="8" t="s">
        <v>293</v>
      </c>
      <c r="J11" s="8" t="s">
        <v>337</v>
      </c>
      <c r="K11" s="8" t="s">
        <v>338</v>
      </c>
    </row>
    <row r="12" spans="1:11" ht="15" customHeight="1">
      <c r="A12" s="14" t="s">
        <v>339</v>
      </c>
      <c r="B12" s="14" t="s">
        <v>333</v>
      </c>
      <c r="C12" s="14" t="s">
        <v>340</v>
      </c>
      <c r="D12" s="14">
        <v>4</v>
      </c>
      <c r="E12" s="14" t="s">
        <v>305</v>
      </c>
      <c r="F12" s="8" t="s">
        <v>341</v>
      </c>
      <c r="G12" s="8" t="s">
        <v>342</v>
      </c>
      <c r="H12" s="8" t="s">
        <v>343</v>
      </c>
      <c r="I12" s="8" t="s">
        <v>293</v>
      </c>
      <c r="J12" s="8" t="s">
        <v>344</v>
      </c>
      <c r="K12" s="14" t="s">
        <v>345</v>
      </c>
    </row>
    <row r="13" spans="1:11" ht="15" customHeight="1">
      <c r="A13" s="11" t="s">
        <v>346</v>
      </c>
      <c r="B13" s="12"/>
      <c r="C13" s="12"/>
      <c r="D13" s="11">
        <f>SUM(D5:D12)</f>
        <v>20</v>
      </c>
      <c r="E13" s="12"/>
      <c r="F13" s="12"/>
      <c r="G13" s="12"/>
      <c r="H13" s="12"/>
      <c r="I13" s="12"/>
      <c r="J13" s="12"/>
      <c r="K13" s="12"/>
    </row>
  </sheetData>
  <mergeCells count="2">
    <mergeCell ref="A1:K1"/>
    <mergeCell ref="A2:K2"/>
  </mergeCells>
  <dataValidations count="1">
    <dataValidation type="list" allowBlank="1" sqref="I5:I11" xr:uid="{00000000-0002-0000-0300-000000000000}">
      <formula1>"To do,In progress,Booked,Paid,N/A"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6F6B"/>
  </sheetPr>
  <dimension ref="A1:E26"/>
  <sheetViews>
    <sheetView zoomScale="150" zoomScaleNormal="100" workbookViewId="0">
      <pane ySplit="4" topLeftCell="A5" activePane="bottomLeft" state="frozen"/>
      <selection pane="bottomLeft" sqref="A1:E1"/>
    </sheetView>
  </sheetViews>
  <sheetFormatPr baseColWidth="10" defaultColWidth="8.6640625" defaultRowHeight="15"/>
  <cols>
    <col min="1" max="1" width="10" customWidth="1"/>
    <col min="2" max="2" width="6" customWidth="1"/>
    <col min="3" max="3" width="14" customWidth="1"/>
    <col min="4" max="4" width="74" customWidth="1"/>
    <col min="5" max="5" width="30" customWidth="1"/>
  </cols>
  <sheetData>
    <row r="1" spans="1:5" ht="24" customHeight="1">
      <c r="A1" s="7" t="s">
        <v>347</v>
      </c>
      <c r="B1" s="7"/>
      <c r="C1" s="7"/>
      <c r="D1" s="7"/>
      <c r="E1" s="7"/>
    </row>
    <row r="2" spans="1:5" ht="18" customHeight="1">
      <c r="A2" s="6" t="s">
        <v>348</v>
      </c>
      <c r="B2" s="6"/>
      <c r="C2" s="6"/>
      <c r="D2" s="6"/>
      <c r="E2" s="6"/>
    </row>
    <row r="4" spans="1:5" ht="15" customHeight="1">
      <c r="A4" s="9" t="s">
        <v>177</v>
      </c>
      <c r="B4" s="9" t="s">
        <v>178</v>
      </c>
      <c r="C4" s="9" t="s">
        <v>28</v>
      </c>
      <c r="D4" s="9" t="s">
        <v>349</v>
      </c>
      <c r="E4" s="9" t="s">
        <v>350</v>
      </c>
    </row>
    <row r="5" spans="1:5" ht="23.25" customHeight="1">
      <c r="A5" s="8" t="s">
        <v>211</v>
      </c>
      <c r="B5" s="8" t="s">
        <v>199</v>
      </c>
      <c r="C5" s="8" t="s">
        <v>351</v>
      </c>
      <c r="D5" s="8" t="s">
        <v>352</v>
      </c>
      <c r="E5" s="8" t="s">
        <v>353</v>
      </c>
    </row>
    <row r="6" spans="1:5" ht="23.25" customHeight="1">
      <c r="A6" s="19" t="s">
        <v>354</v>
      </c>
      <c r="B6" s="19" t="s">
        <v>355</v>
      </c>
      <c r="C6" s="19" t="s">
        <v>351</v>
      </c>
      <c r="D6" s="19" t="s">
        <v>356</v>
      </c>
      <c r="E6" s="19" t="s">
        <v>357</v>
      </c>
    </row>
    <row r="7" spans="1:5" ht="23.25" customHeight="1">
      <c r="A7" s="8" t="s">
        <v>358</v>
      </c>
      <c r="B7" s="8" t="s">
        <v>253</v>
      </c>
      <c r="C7" s="8" t="s">
        <v>351</v>
      </c>
      <c r="D7" s="8" t="s">
        <v>359</v>
      </c>
      <c r="E7" s="8" t="s">
        <v>360</v>
      </c>
    </row>
    <row r="8" spans="1:5" ht="23.25" customHeight="1">
      <c r="A8" s="19" t="s">
        <v>361</v>
      </c>
      <c r="B8" s="19" t="s">
        <v>362</v>
      </c>
      <c r="C8" s="19" t="s">
        <v>351</v>
      </c>
      <c r="D8" s="19" t="s">
        <v>363</v>
      </c>
      <c r="E8" s="19" t="s">
        <v>364</v>
      </c>
    </row>
    <row r="9" spans="1:5" ht="23.25" customHeight="1">
      <c r="A9" s="8" t="s">
        <v>191</v>
      </c>
      <c r="B9" s="8" t="s">
        <v>192</v>
      </c>
      <c r="C9" s="8" t="s">
        <v>34</v>
      </c>
      <c r="D9" s="8" t="s">
        <v>365</v>
      </c>
      <c r="E9" s="8" t="s">
        <v>366</v>
      </c>
    </row>
    <row r="10" spans="1:5" ht="23.25" customHeight="1">
      <c r="A10" s="19" t="s">
        <v>367</v>
      </c>
      <c r="B10" s="19" t="s">
        <v>368</v>
      </c>
      <c r="C10" s="19" t="s">
        <v>34</v>
      </c>
      <c r="D10" s="19" t="s">
        <v>369</v>
      </c>
      <c r="E10" s="19" t="s">
        <v>370</v>
      </c>
    </row>
    <row r="11" spans="1:5" ht="23.25" customHeight="1">
      <c r="A11" s="8" t="s">
        <v>224</v>
      </c>
      <c r="B11" s="8" t="s">
        <v>185</v>
      </c>
      <c r="C11" s="8" t="s">
        <v>371</v>
      </c>
      <c r="D11" s="8" t="s">
        <v>372</v>
      </c>
      <c r="E11" s="8" t="s">
        <v>373</v>
      </c>
    </row>
    <row r="12" spans="1:5" ht="23.25" customHeight="1">
      <c r="A12" s="19" t="s">
        <v>198</v>
      </c>
      <c r="B12" s="19" t="s">
        <v>199</v>
      </c>
      <c r="C12" s="19" t="s">
        <v>40</v>
      </c>
      <c r="D12" s="19" t="s">
        <v>374</v>
      </c>
      <c r="E12" s="19" t="s">
        <v>375</v>
      </c>
    </row>
    <row r="13" spans="1:5" ht="23.25" customHeight="1">
      <c r="A13" s="8" t="s">
        <v>376</v>
      </c>
      <c r="B13" s="8" t="s">
        <v>355</v>
      </c>
      <c r="C13" s="8" t="s">
        <v>40</v>
      </c>
      <c r="D13" s="8" t="s">
        <v>377</v>
      </c>
      <c r="E13" s="8" t="s">
        <v>378</v>
      </c>
    </row>
    <row r="14" spans="1:5" ht="23.25" customHeight="1">
      <c r="A14" s="19" t="s">
        <v>379</v>
      </c>
      <c r="B14" s="19" t="s">
        <v>253</v>
      </c>
      <c r="C14" s="19" t="s">
        <v>40</v>
      </c>
      <c r="D14" s="19" t="s">
        <v>380</v>
      </c>
      <c r="E14" s="19" t="s">
        <v>381</v>
      </c>
    </row>
    <row r="15" spans="1:5" ht="23.25" customHeight="1">
      <c r="A15" s="8" t="s">
        <v>382</v>
      </c>
      <c r="B15" s="8" t="s">
        <v>362</v>
      </c>
      <c r="C15" s="8" t="s">
        <v>40</v>
      </c>
      <c r="D15" s="8" t="s">
        <v>383</v>
      </c>
      <c r="E15" s="8" t="s">
        <v>384</v>
      </c>
    </row>
    <row r="16" spans="1:5" ht="23.25" customHeight="1">
      <c r="A16" s="19" t="s">
        <v>385</v>
      </c>
      <c r="B16" s="19" t="s">
        <v>192</v>
      </c>
      <c r="C16" s="19" t="s">
        <v>43</v>
      </c>
      <c r="D16" s="19" t="s">
        <v>386</v>
      </c>
      <c r="E16" s="19" t="s">
        <v>387</v>
      </c>
    </row>
    <row r="17" spans="1:5" ht="23.25" customHeight="1">
      <c r="A17" s="8" t="s">
        <v>388</v>
      </c>
      <c r="B17" s="8" t="s">
        <v>368</v>
      </c>
      <c r="C17" s="8" t="s">
        <v>43</v>
      </c>
      <c r="D17" s="8" t="s">
        <v>389</v>
      </c>
      <c r="E17" s="8" t="s">
        <v>390</v>
      </c>
    </row>
    <row r="18" spans="1:5" ht="23.25" customHeight="1">
      <c r="A18" s="19" t="s">
        <v>239</v>
      </c>
      <c r="B18" s="19" t="s">
        <v>185</v>
      </c>
      <c r="C18" s="19" t="s">
        <v>46</v>
      </c>
      <c r="D18" s="19" t="s">
        <v>391</v>
      </c>
      <c r="E18" s="19" t="s">
        <v>392</v>
      </c>
    </row>
    <row r="19" spans="1:5" ht="23.25" customHeight="1">
      <c r="A19" s="8" t="s">
        <v>393</v>
      </c>
      <c r="B19" s="8" t="s">
        <v>199</v>
      </c>
      <c r="C19" s="8" t="s">
        <v>46</v>
      </c>
      <c r="D19" s="8" t="s">
        <v>394</v>
      </c>
      <c r="E19" s="8" t="s">
        <v>395</v>
      </c>
    </row>
    <row r="20" spans="1:5" ht="23.25" customHeight="1">
      <c r="A20" s="19" t="s">
        <v>396</v>
      </c>
      <c r="B20" s="19" t="s">
        <v>355</v>
      </c>
      <c r="C20" s="19" t="s">
        <v>397</v>
      </c>
      <c r="D20" s="19" t="s">
        <v>398</v>
      </c>
      <c r="E20" s="19" t="s">
        <v>399</v>
      </c>
    </row>
    <row r="21" spans="1:5" ht="23.25" customHeight="1">
      <c r="A21" s="8" t="s">
        <v>252</v>
      </c>
      <c r="B21" s="8" t="s">
        <v>253</v>
      </c>
      <c r="C21" s="8" t="s">
        <v>400</v>
      </c>
      <c r="D21" s="8" t="s">
        <v>401</v>
      </c>
      <c r="E21" s="8" t="s">
        <v>402</v>
      </c>
    </row>
    <row r="22" spans="1:5" ht="23.25" customHeight="1">
      <c r="A22" s="19" t="s">
        <v>403</v>
      </c>
      <c r="B22" s="19" t="s">
        <v>362</v>
      </c>
      <c r="C22" s="19" t="s">
        <v>351</v>
      </c>
      <c r="D22" s="19" t="s">
        <v>404</v>
      </c>
      <c r="E22" s="19" t="s">
        <v>405</v>
      </c>
    </row>
    <row r="23" spans="1:5" ht="23.25" customHeight="1">
      <c r="A23" s="8" t="s">
        <v>406</v>
      </c>
      <c r="B23" s="8" t="s">
        <v>192</v>
      </c>
      <c r="C23" s="8" t="s">
        <v>351</v>
      </c>
      <c r="D23" s="8" t="s">
        <v>407</v>
      </c>
      <c r="E23" s="8" t="s">
        <v>408</v>
      </c>
    </row>
    <row r="24" spans="1:5" ht="23.25" customHeight="1">
      <c r="A24" s="19" t="s">
        <v>409</v>
      </c>
      <c r="B24" s="19" t="s">
        <v>368</v>
      </c>
      <c r="C24" s="19" t="s">
        <v>351</v>
      </c>
      <c r="D24" s="19" t="s">
        <v>410</v>
      </c>
      <c r="E24" s="19" t="s">
        <v>411</v>
      </c>
    </row>
    <row r="25" spans="1:5" ht="23.25" customHeight="1">
      <c r="A25" s="8" t="s">
        <v>205</v>
      </c>
      <c r="B25" s="8" t="s">
        <v>185</v>
      </c>
      <c r="C25" s="8" t="s">
        <v>103</v>
      </c>
      <c r="D25" s="8" t="s">
        <v>412</v>
      </c>
      <c r="E25" s="8" t="s">
        <v>413</v>
      </c>
    </row>
    <row r="26" spans="1:5" ht="15" customHeight="1">
      <c r="A26" s="2" t="s">
        <v>414</v>
      </c>
      <c r="B26" s="2"/>
      <c r="C26" s="2"/>
      <c r="D26" s="2"/>
      <c r="E26" s="2"/>
    </row>
  </sheetData>
  <mergeCells count="3">
    <mergeCell ref="A1:E1"/>
    <mergeCell ref="A2:E2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5651D"/>
  </sheetPr>
  <dimension ref="A1:F31"/>
  <sheetViews>
    <sheetView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/>
  <cols>
    <col min="1" max="1" width="12" customWidth="1"/>
    <col min="2" max="2" width="34" customWidth="1"/>
    <col min="3" max="3" width="20" customWidth="1"/>
    <col min="4" max="4" width="12" customWidth="1"/>
    <col min="5" max="5" width="13" customWidth="1"/>
    <col min="6" max="6" width="40" customWidth="1"/>
  </cols>
  <sheetData>
    <row r="1" spans="1:6" ht="24" customHeight="1">
      <c r="A1" s="7" t="s">
        <v>415</v>
      </c>
      <c r="B1" s="7"/>
      <c r="C1" s="7"/>
      <c r="D1" s="7"/>
      <c r="E1" s="7"/>
      <c r="F1" s="7"/>
    </row>
    <row r="2" spans="1:6" ht="18" customHeight="1">
      <c r="A2" s="6" t="s">
        <v>416</v>
      </c>
      <c r="B2" s="6"/>
      <c r="C2" s="6"/>
      <c r="D2" s="6"/>
      <c r="E2" s="6"/>
      <c r="F2" s="6"/>
    </row>
    <row r="4" spans="1:6" ht="15" customHeight="1">
      <c r="A4" s="9" t="s">
        <v>417</v>
      </c>
      <c r="B4" s="9" t="s">
        <v>418</v>
      </c>
      <c r="C4" s="9" t="s">
        <v>419</v>
      </c>
      <c r="D4" s="9" t="s">
        <v>183</v>
      </c>
      <c r="E4" s="9" t="s">
        <v>69</v>
      </c>
      <c r="F4" s="9" t="s">
        <v>30</v>
      </c>
    </row>
    <row r="5" spans="1:6" ht="23.25" customHeight="1">
      <c r="A5" s="8" t="s">
        <v>351</v>
      </c>
      <c r="B5" s="8" t="s">
        <v>420</v>
      </c>
      <c r="C5" s="8" t="s">
        <v>421</v>
      </c>
      <c r="D5" s="8" t="s">
        <v>422</v>
      </c>
      <c r="E5" s="8" t="s">
        <v>293</v>
      </c>
      <c r="F5" s="8" t="s">
        <v>423</v>
      </c>
    </row>
    <row r="6" spans="1:6" ht="23.25" customHeight="1">
      <c r="A6" s="19" t="s">
        <v>351</v>
      </c>
      <c r="B6" s="19" t="s">
        <v>424</v>
      </c>
      <c r="C6" s="19" t="s">
        <v>421</v>
      </c>
      <c r="D6" s="19" t="s">
        <v>422</v>
      </c>
      <c r="E6" s="19" t="s">
        <v>293</v>
      </c>
      <c r="F6" s="19" t="s">
        <v>425</v>
      </c>
    </row>
    <row r="7" spans="1:6" ht="15" customHeight="1">
      <c r="A7" s="19" t="s">
        <v>351</v>
      </c>
      <c r="B7" s="19" t="s">
        <v>426</v>
      </c>
      <c r="C7" s="19" t="s">
        <v>427</v>
      </c>
      <c r="D7" s="19" t="s">
        <v>428</v>
      </c>
      <c r="E7" s="19" t="s">
        <v>128</v>
      </c>
      <c r="F7" s="19" t="s">
        <v>429</v>
      </c>
    </row>
    <row r="8" spans="1:6" ht="23.25" customHeight="1">
      <c r="A8" s="8" t="s">
        <v>351</v>
      </c>
      <c r="B8" s="8" t="s">
        <v>430</v>
      </c>
      <c r="C8" s="8" t="s">
        <v>431</v>
      </c>
      <c r="D8" s="8" t="s">
        <v>216</v>
      </c>
      <c r="E8" s="8" t="s">
        <v>128</v>
      </c>
      <c r="F8" s="8" t="s">
        <v>432</v>
      </c>
    </row>
    <row r="9" spans="1:6" ht="34.5" customHeight="1">
      <c r="A9" s="19" t="s">
        <v>351</v>
      </c>
      <c r="B9" s="19" t="s">
        <v>433</v>
      </c>
      <c r="C9" s="19" t="s">
        <v>434</v>
      </c>
      <c r="D9" s="19" t="s">
        <v>435</v>
      </c>
      <c r="E9" s="19" t="s">
        <v>128</v>
      </c>
      <c r="F9" s="19" t="s">
        <v>436</v>
      </c>
    </row>
    <row r="10" spans="1:6" ht="23.25" customHeight="1">
      <c r="A10" s="19" t="s">
        <v>351</v>
      </c>
      <c r="B10" s="19" t="s">
        <v>437</v>
      </c>
      <c r="C10" s="19" t="s">
        <v>438</v>
      </c>
      <c r="D10" s="19" t="s">
        <v>422</v>
      </c>
      <c r="E10" s="19" t="s">
        <v>293</v>
      </c>
      <c r="F10" s="19" t="s">
        <v>439</v>
      </c>
    </row>
    <row r="11" spans="1:6" ht="15" customHeight="1">
      <c r="A11" s="19" t="s">
        <v>351</v>
      </c>
      <c r="B11" s="19" t="s">
        <v>440</v>
      </c>
      <c r="C11" s="19" t="s">
        <v>441</v>
      </c>
      <c r="D11" s="19" t="s">
        <v>422</v>
      </c>
      <c r="E11" s="19" t="s">
        <v>293</v>
      </c>
      <c r="F11" s="19" t="s">
        <v>442</v>
      </c>
    </row>
    <row r="12" spans="1:6" ht="23.25" customHeight="1">
      <c r="A12" s="8" t="s">
        <v>351</v>
      </c>
      <c r="B12" s="8" t="s">
        <v>443</v>
      </c>
      <c r="C12" s="8" t="s">
        <v>444</v>
      </c>
      <c r="D12" s="8" t="s">
        <v>216</v>
      </c>
      <c r="E12" s="8" t="s">
        <v>128</v>
      </c>
      <c r="F12" s="8" t="s">
        <v>445</v>
      </c>
    </row>
    <row r="13" spans="1:6" ht="23.25" customHeight="1">
      <c r="A13" s="19" t="s">
        <v>34</v>
      </c>
      <c r="B13" s="19" t="s">
        <v>446</v>
      </c>
      <c r="C13" s="19" t="s">
        <v>447</v>
      </c>
      <c r="D13" s="19" t="s">
        <v>216</v>
      </c>
      <c r="E13" s="19" t="s">
        <v>128</v>
      </c>
      <c r="F13" s="19" t="s">
        <v>191</v>
      </c>
    </row>
    <row r="14" spans="1:6" ht="15" customHeight="1">
      <c r="A14" s="8" t="s">
        <v>34</v>
      </c>
      <c r="B14" s="8" t="s">
        <v>448</v>
      </c>
      <c r="C14" s="8" t="s">
        <v>449</v>
      </c>
      <c r="D14" s="8" t="s">
        <v>428</v>
      </c>
      <c r="E14" s="8" t="s">
        <v>128</v>
      </c>
      <c r="F14" s="8" t="s">
        <v>450</v>
      </c>
    </row>
    <row r="15" spans="1:6" ht="15" customHeight="1">
      <c r="A15" s="19" t="s">
        <v>34</v>
      </c>
      <c r="B15" s="19" t="s">
        <v>451</v>
      </c>
      <c r="C15" s="19" t="s">
        <v>452</v>
      </c>
      <c r="D15" s="19" t="s">
        <v>216</v>
      </c>
      <c r="E15" s="19" t="s">
        <v>128</v>
      </c>
      <c r="F15" s="19" t="s">
        <v>453</v>
      </c>
    </row>
    <row r="16" spans="1:6" ht="23.25" customHeight="1">
      <c r="A16" s="8" t="s">
        <v>34</v>
      </c>
      <c r="B16" s="8" t="s">
        <v>454</v>
      </c>
      <c r="C16" s="8" t="s">
        <v>455</v>
      </c>
      <c r="D16" s="8" t="s">
        <v>435</v>
      </c>
      <c r="E16" s="8" t="s">
        <v>128</v>
      </c>
      <c r="F16" s="8" t="s">
        <v>456</v>
      </c>
    </row>
    <row r="17" spans="1:6" ht="15" customHeight="1">
      <c r="A17" s="19" t="s">
        <v>34</v>
      </c>
      <c r="B17" s="19" t="s">
        <v>457</v>
      </c>
      <c r="C17" s="19" t="s">
        <v>444</v>
      </c>
      <c r="D17" s="19" t="s">
        <v>216</v>
      </c>
      <c r="E17" s="19" t="s">
        <v>128</v>
      </c>
      <c r="F17" s="19" t="s">
        <v>458</v>
      </c>
    </row>
    <row r="18" spans="1:6" ht="34.5" customHeight="1">
      <c r="A18" s="8" t="s">
        <v>40</v>
      </c>
      <c r="B18" s="8" t="s">
        <v>459</v>
      </c>
      <c r="C18" s="8" t="s">
        <v>460</v>
      </c>
      <c r="D18" s="8" t="s">
        <v>422</v>
      </c>
      <c r="E18" s="8" t="s">
        <v>293</v>
      </c>
      <c r="F18" s="8" t="s">
        <v>461</v>
      </c>
    </row>
    <row r="19" spans="1:6" ht="15" customHeight="1">
      <c r="A19" s="8" t="s">
        <v>40</v>
      </c>
      <c r="B19" s="8" t="s">
        <v>462</v>
      </c>
      <c r="C19" s="8" t="s">
        <v>463</v>
      </c>
      <c r="D19" s="8" t="s">
        <v>422</v>
      </c>
      <c r="E19" s="8" t="s">
        <v>293</v>
      </c>
      <c r="F19" s="8" t="s">
        <v>464</v>
      </c>
    </row>
    <row r="20" spans="1:6" ht="15" customHeight="1">
      <c r="A20" s="19" t="s">
        <v>40</v>
      </c>
      <c r="B20" s="19" t="s">
        <v>465</v>
      </c>
      <c r="C20" s="19" t="s">
        <v>466</v>
      </c>
      <c r="D20" s="19" t="s">
        <v>435</v>
      </c>
      <c r="E20" s="19" t="s">
        <v>128</v>
      </c>
      <c r="F20" s="19"/>
    </row>
    <row r="21" spans="1:6" ht="23.25" customHeight="1">
      <c r="A21" s="8" t="s">
        <v>40</v>
      </c>
      <c r="B21" s="8" t="s">
        <v>467</v>
      </c>
      <c r="C21" s="8" t="s">
        <v>468</v>
      </c>
      <c r="D21" s="8" t="s">
        <v>216</v>
      </c>
      <c r="E21" s="8" t="s">
        <v>128</v>
      </c>
      <c r="F21" s="8" t="s">
        <v>198</v>
      </c>
    </row>
    <row r="22" spans="1:6" ht="23.25" customHeight="1">
      <c r="A22" s="19" t="s">
        <v>40</v>
      </c>
      <c r="B22" s="19" t="s">
        <v>469</v>
      </c>
      <c r="C22" s="19" t="s">
        <v>470</v>
      </c>
      <c r="D22" s="19" t="s">
        <v>216</v>
      </c>
      <c r="E22" s="19" t="s">
        <v>128</v>
      </c>
      <c r="F22" s="19"/>
    </row>
    <row r="23" spans="1:6" ht="15" customHeight="1">
      <c r="A23" s="8" t="s">
        <v>43</v>
      </c>
      <c r="B23" s="8" t="s">
        <v>471</v>
      </c>
      <c r="C23" s="8" t="s">
        <v>472</v>
      </c>
      <c r="D23" s="8" t="s">
        <v>216</v>
      </c>
      <c r="E23" s="8" t="s">
        <v>128</v>
      </c>
      <c r="F23" s="8" t="s">
        <v>385</v>
      </c>
    </row>
    <row r="24" spans="1:6" ht="23.25" customHeight="1">
      <c r="A24" s="19" t="s">
        <v>43</v>
      </c>
      <c r="B24" s="19" t="s">
        <v>473</v>
      </c>
      <c r="C24" s="19" t="s">
        <v>474</v>
      </c>
      <c r="D24" s="19" t="s">
        <v>216</v>
      </c>
      <c r="E24" s="19" t="s">
        <v>128</v>
      </c>
      <c r="F24" s="19" t="s">
        <v>475</v>
      </c>
    </row>
    <row r="25" spans="1:6" ht="23.25" customHeight="1">
      <c r="A25" s="8" t="s">
        <v>43</v>
      </c>
      <c r="B25" s="8" t="s">
        <v>476</v>
      </c>
      <c r="C25" s="8" t="s">
        <v>477</v>
      </c>
      <c r="D25" s="8" t="s">
        <v>435</v>
      </c>
      <c r="E25" s="8" t="s">
        <v>128</v>
      </c>
      <c r="F25" s="8" t="s">
        <v>478</v>
      </c>
    </row>
    <row r="26" spans="1:6" ht="23.25" customHeight="1">
      <c r="A26" s="19" t="s">
        <v>43</v>
      </c>
      <c r="B26" s="19" t="s">
        <v>479</v>
      </c>
      <c r="C26" s="19" t="s">
        <v>444</v>
      </c>
      <c r="D26" s="19" t="s">
        <v>216</v>
      </c>
      <c r="E26" s="19" t="s">
        <v>128</v>
      </c>
      <c r="F26" s="19"/>
    </row>
    <row r="27" spans="1:6" ht="23.25" customHeight="1">
      <c r="A27" s="8" t="s">
        <v>46</v>
      </c>
      <c r="B27" s="8" t="s">
        <v>480</v>
      </c>
      <c r="C27" s="8" t="s">
        <v>481</v>
      </c>
      <c r="D27" s="8" t="s">
        <v>435</v>
      </c>
      <c r="E27" s="8" t="s">
        <v>128</v>
      </c>
      <c r="F27" s="8" t="s">
        <v>482</v>
      </c>
    </row>
    <row r="28" spans="1:6" ht="57" customHeight="1">
      <c r="A28" s="8" t="s">
        <v>46</v>
      </c>
      <c r="B28" s="8" t="s">
        <v>483</v>
      </c>
      <c r="C28" s="8" t="s">
        <v>441</v>
      </c>
      <c r="D28" s="8" t="s">
        <v>422</v>
      </c>
      <c r="E28" s="8" t="s">
        <v>293</v>
      </c>
      <c r="F28" s="8" t="s">
        <v>484</v>
      </c>
    </row>
    <row r="29" spans="1:6" ht="23.25" customHeight="1">
      <c r="A29" s="8" t="s">
        <v>46</v>
      </c>
      <c r="B29" s="8" t="s">
        <v>485</v>
      </c>
      <c r="C29" s="8" t="s">
        <v>441</v>
      </c>
      <c r="D29" s="8" t="s">
        <v>422</v>
      </c>
      <c r="E29" s="8" t="s">
        <v>486</v>
      </c>
      <c r="F29" s="8" t="s">
        <v>487</v>
      </c>
    </row>
    <row r="30" spans="1:6" ht="23.25" customHeight="1">
      <c r="A30" s="8" t="s">
        <v>46</v>
      </c>
      <c r="B30" s="8" t="s">
        <v>488</v>
      </c>
      <c r="C30" s="8" t="s">
        <v>441</v>
      </c>
      <c r="D30" s="8" t="s">
        <v>422</v>
      </c>
      <c r="E30" s="8" t="s">
        <v>293</v>
      </c>
      <c r="F30" s="8" t="s">
        <v>489</v>
      </c>
    </row>
    <row r="31" spans="1:6" ht="23.25" customHeight="1">
      <c r="A31" s="19" t="s">
        <v>46</v>
      </c>
      <c r="B31" s="19" t="s">
        <v>490</v>
      </c>
      <c r="C31" s="19" t="s">
        <v>491</v>
      </c>
      <c r="D31" s="19" t="s">
        <v>216</v>
      </c>
      <c r="E31" s="19" t="s">
        <v>128</v>
      </c>
      <c r="F31" s="19"/>
    </row>
  </sheetData>
  <mergeCells count="2">
    <mergeCell ref="A1:F1"/>
    <mergeCell ref="A2:F2"/>
  </mergeCells>
  <dataValidations count="1">
    <dataValidation type="list" allowBlank="1" sqref="E5:E24" xr:uid="{00000000-0002-0000-0500-000000000000}">
      <formula1>"To do,In progress,Booked,Paid,N/A"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E6E8C"/>
  </sheetPr>
  <dimension ref="A1:F26"/>
  <sheetViews>
    <sheetView zoomScaleNormal="100" workbookViewId="0">
      <pane ySplit="14" topLeftCell="A15" activePane="bottomLeft" state="frozen"/>
      <selection pane="bottomLeft" sqref="A1:F1"/>
    </sheetView>
  </sheetViews>
  <sheetFormatPr baseColWidth="10" defaultColWidth="8.6640625" defaultRowHeight="15"/>
  <cols>
    <col min="1" max="1" width="34" customWidth="1"/>
    <col min="2" max="2" width="12" customWidth="1"/>
    <col min="3" max="3" width="22" customWidth="1"/>
    <col min="4" max="4" width="13" customWidth="1"/>
    <col min="5" max="5" width="18" customWidth="1"/>
    <col min="6" max="6" width="34" customWidth="1"/>
  </cols>
  <sheetData>
    <row r="1" spans="1:6" ht="24" customHeight="1">
      <c r="A1" s="7" t="s">
        <v>492</v>
      </c>
      <c r="B1" s="7"/>
      <c r="C1" s="7"/>
      <c r="D1" s="7"/>
      <c r="E1" s="7"/>
      <c r="F1" s="7"/>
    </row>
    <row r="2" spans="1:6" ht="18" customHeight="1">
      <c r="A2" s="6" t="s">
        <v>493</v>
      </c>
      <c r="B2" s="6"/>
      <c r="C2" s="6"/>
      <c r="D2" s="6"/>
      <c r="E2" s="6"/>
      <c r="F2" s="6"/>
    </row>
    <row r="4" spans="1:6" ht="18" customHeight="1">
      <c r="A4" s="4" t="s">
        <v>494</v>
      </c>
      <c r="B4" s="4"/>
      <c r="C4" s="4"/>
      <c r="D4" s="4"/>
      <c r="E4" s="4"/>
      <c r="F4" s="4"/>
    </row>
    <row r="5" spans="1:6" ht="15" customHeight="1">
      <c r="A5" s="9" t="s">
        <v>495</v>
      </c>
      <c r="B5" s="9" t="s">
        <v>417</v>
      </c>
      <c r="C5" s="9" t="s">
        <v>496</v>
      </c>
      <c r="D5" s="9" t="s">
        <v>69</v>
      </c>
      <c r="E5" s="9" t="s">
        <v>70</v>
      </c>
      <c r="F5" s="9" t="s">
        <v>30</v>
      </c>
    </row>
    <row r="6" spans="1:6" ht="15" customHeight="1">
      <c r="A6" s="8" t="s">
        <v>497</v>
      </c>
      <c r="B6" s="8" t="s">
        <v>351</v>
      </c>
      <c r="C6" s="8" t="s">
        <v>498</v>
      </c>
      <c r="D6" s="8" t="s">
        <v>75</v>
      </c>
      <c r="E6" s="8" t="s">
        <v>499</v>
      </c>
      <c r="F6" s="8" t="s">
        <v>500</v>
      </c>
    </row>
    <row r="7" spans="1:6" ht="23.25" customHeight="1">
      <c r="A7" s="19" t="s">
        <v>501</v>
      </c>
      <c r="B7" s="19" t="s">
        <v>351</v>
      </c>
      <c r="C7" s="19" t="s">
        <v>502</v>
      </c>
      <c r="D7" s="19" t="s">
        <v>104</v>
      </c>
      <c r="E7" s="19"/>
      <c r="F7" s="19" t="s">
        <v>503</v>
      </c>
    </row>
    <row r="8" spans="1:6" ht="15" customHeight="1">
      <c r="A8" s="8" t="s">
        <v>504</v>
      </c>
      <c r="B8" s="8" t="s">
        <v>351</v>
      </c>
      <c r="C8" s="8" t="s">
        <v>505</v>
      </c>
      <c r="D8" s="8" t="s">
        <v>128</v>
      </c>
      <c r="E8" s="8"/>
      <c r="F8" s="8" t="s">
        <v>506</v>
      </c>
    </row>
    <row r="9" spans="1:6" ht="15" customHeight="1">
      <c r="A9" s="19" t="s">
        <v>507</v>
      </c>
      <c r="B9" s="19" t="s">
        <v>40</v>
      </c>
      <c r="C9" s="19" t="s">
        <v>508</v>
      </c>
      <c r="D9" s="19" t="s">
        <v>75</v>
      </c>
      <c r="E9" s="19" t="s">
        <v>509</v>
      </c>
      <c r="F9" s="19" t="s">
        <v>510</v>
      </c>
    </row>
    <row r="10" spans="1:6" ht="15" customHeight="1">
      <c r="A10" s="8" t="s">
        <v>511</v>
      </c>
      <c r="B10" s="8" t="s">
        <v>351</v>
      </c>
      <c r="C10" s="8" t="s">
        <v>512</v>
      </c>
      <c r="D10" s="8" t="s">
        <v>75</v>
      </c>
      <c r="E10" s="8" t="s">
        <v>513</v>
      </c>
      <c r="F10" s="8" t="s">
        <v>514</v>
      </c>
    </row>
    <row r="11" spans="1:6" ht="15" customHeight="1">
      <c r="A11" s="19" t="s">
        <v>515</v>
      </c>
      <c r="B11" s="19" t="s">
        <v>351</v>
      </c>
      <c r="C11" s="19" t="s">
        <v>516</v>
      </c>
      <c r="D11" s="19" t="s">
        <v>128</v>
      </c>
      <c r="E11" s="19"/>
      <c r="F11" s="19" t="s">
        <v>517</v>
      </c>
    </row>
    <row r="12" spans="1:6" ht="15" customHeight="1">
      <c r="A12" t="s">
        <v>518</v>
      </c>
    </row>
    <row r="13" spans="1:6" ht="18" customHeight="1">
      <c r="A13" s="4" t="s">
        <v>519</v>
      </c>
      <c r="B13" s="4"/>
      <c r="C13" s="4"/>
      <c r="D13" s="4"/>
      <c r="E13" s="4"/>
      <c r="F13" s="4"/>
    </row>
    <row r="14" spans="1:6" ht="15" customHeight="1">
      <c r="A14" s="9" t="s">
        <v>417</v>
      </c>
      <c r="B14" s="9" t="s">
        <v>520</v>
      </c>
      <c r="C14" s="9" t="s">
        <v>521</v>
      </c>
      <c r="D14" s="9"/>
      <c r="E14" s="9"/>
      <c r="F14" s="9"/>
    </row>
    <row r="15" spans="1:6" ht="23.25" customHeight="1">
      <c r="A15" s="17" t="s">
        <v>351</v>
      </c>
      <c r="B15" s="8" t="s">
        <v>522</v>
      </c>
      <c r="C15" s="1" t="s">
        <v>523</v>
      </c>
      <c r="D15" s="1"/>
      <c r="E15" s="1"/>
      <c r="F15" s="1"/>
    </row>
    <row r="16" spans="1:6" ht="23.25" customHeight="1">
      <c r="A16" s="17" t="s">
        <v>351</v>
      </c>
      <c r="B16" s="8" t="s">
        <v>524</v>
      </c>
      <c r="C16" s="1" t="s">
        <v>525</v>
      </c>
      <c r="D16" s="1"/>
      <c r="E16" s="1"/>
      <c r="F16" s="1"/>
    </row>
    <row r="17" spans="1:6" ht="15" customHeight="1">
      <c r="A17" s="17" t="s">
        <v>351</v>
      </c>
      <c r="B17" s="8" t="s">
        <v>526</v>
      </c>
      <c r="C17" s="1" t="s">
        <v>527</v>
      </c>
      <c r="D17" s="1"/>
      <c r="E17" s="1"/>
      <c r="F17" s="1"/>
    </row>
    <row r="18" spans="1:6" ht="15" customHeight="1">
      <c r="A18" s="17" t="s">
        <v>351</v>
      </c>
      <c r="B18" s="8" t="s">
        <v>528</v>
      </c>
      <c r="C18" s="1" t="s">
        <v>529</v>
      </c>
      <c r="D18" s="1"/>
      <c r="E18" s="1"/>
      <c r="F18" s="1"/>
    </row>
    <row r="19" spans="1:6" ht="15" customHeight="1">
      <c r="A19" s="17" t="s">
        <v>530</v>
      </c>
      <c r="B19" s="8" t="s">
        <v>531</v>
      </c>
      <c r="C19" s="1" t="s">
        <v>532</v>
      </c>
      <c r="D19" s="1"/>
      <c r="E19" s="1"/>
      <c r="F19" s="1"/>
    </row>
    <row r="20" spans="1:6" ht="15" customHeight="1">
      <c r="A20" s="17" t="s">
        <v>530</v>
      </c>
      <c r="B20" s="8" t="s">
        <v>533</v>
      </c>
      <c r="C20" s="1" t="s">
        <v>534</v>
      </c>
      <c r="D20" s="1"/>
      <c r="E20" s="1"/>
      <c r="F20" s="1"/>
    </row>
    <row r="21" spans="1:6" ht="23.25" customHeight="1">
      <c r="A21" s="17" t="s">
        <v>40</v>
      </c>
      <c r="B21" s="8" t="s">
        <v>522</v>
      </c>
      <c r="C21" s="1" t="s">
        <v>535</v>
      </c>
      <c r="D21" s="1"/>
      <c r="E21" s="1"/>
      <c r="F21" s="1"/>
    </row>
    <row r="22" spans="1:6" ht="15" customHeight="1">
      <c r="A22" s="17" t="s">
        <v>40</v>
      </c>
      <c r="B22" s="8" t="s">
        <v>528</v>
      </c>
      <c r="C22" s="1" t="s">
        <v>536</v>
      </c>
      <c r="D22" s="1"/>
      <c r="E22" s="1"/>
      <c r="F22" s="1"/>
    </row>
    <row r="23" spans="1:6" ht="23.25" customHeight="1">
      <c r="A23" s="17" t="s">
        <v>43</v>
      </c>
      <c r="B23" s="8" t="s">
        <v>537</v>
      </c>
      <c r="C23" s="1" t="s">
        <v>538</v>
      </c>
      <c r="D23" s="1"/>
      <c r="E23" s="1"/>
      <c r="F23" s="1"/>
    </row>
    <row r="24" spans="1:6" ht="15" customHeight="1">
      <c r="A24" s="17" t="s">
        <v>43</v>
      </c>
      <c r="B24" s="8" t="s">
        <v>528</v>
      </c>
      <c r="C24" s="1" t="s">
        <v>539</v>
      </c>
      <c r="D24" s="1"/>
      <c r="E24" s="1"/>
      <c r="F24" s="1"/>
    </row>
    <row r="25" spans="1:6" ht="23.25" customHeight="1">
      <c r="A25" s="17" t="s">
        <v>46</v>
      </c>
      <c r="B25" s="8" t="s">
        <v>540</v>
      </c>
      <c r="C25" s="1" t="s">
        <v>541</v>
      </c>
      <c r="D25" s="1"/>
      <c r="E25" s="1"/>
      <c r="F25" s="1"/>
    </row>
    <row r="26" spans="1:6" ht="15" customHeight="1">
      <c r="A26" s="17" t="s">
        <v>46</v>
      </c>
      <c r="B26" s="8" t="s">
        <v>542</v>
      </c>
      <c r="C26" s="1" t="s">
        <v>543</v>
      </c>
      <c r="D26" s="1"/>
      <c r="E26" s="1"/>
      <c r="F26" s="1"/>
    </row>
  </sheetData>
  <mergeCells count="16">
    <mergeCell ref="C26:F26"/>
    <mergeCell ref="C21:F21"/>
    <mergeCell ref="C22:F22"/>
    <mergeCell ref="C23:F23"/>
    <mergeCell ref="C24:F24"/>
    <mergeCell ref="C25:F25"/>
    <mergeCell ref="C16:F16"/>
    <mergeCell ref="C17:F17"/>
    <mergeCell ref="C18:F18"/>
    <mergeCell ref="C19:F19"/>
    <mergeCell ref="C20:F20"/>
    <mergeCell ref="A1:F1"/>
    <mergeCell ref="A2:F2"/>
    <mergeCell ref="A4:F4"/>
    <mergeCell ref="A13:F13"/>
    <mergeCell ref="C15:F15"/>
  </mergeCells>
  <dataValidations count="1">
    <dataValidation type="list" allowBlank="1" sqref="D6:D11" xr:uid="{00000000-0002-0000-0600-000000000000}">
      <formula1>"To do,In progress,Booked,Paid,N/A"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04040"/>
  </sheetPr>
  <dimension ref="A1:E34"/>
  <sheetViews>
    <sheetView zoomScale="150" zoomScaleNormal="100" workbookViewId="0">
      <pane ySplit="4" topLeftCell="A10" activePane="bottomLeft" state="frozen"/>
      <selection pane="bottomLeft" activeCell="H10" sqref="H10"/>
    </sheetView>
  </sheetViews>
  <sheetFormatPr baseColWidth="10" defaultColWidth="8.6640625" defaultRowHeight="15"/>
  <cols>
    <col min="1" max="1" width="38" customWidth="1"/>
    <col min="2" max="2" width="16" customWidth="1"/>
    <col min="3" max="3" width="20" customWidth="1"/>
    <col min="4" max="4" width="12" customWidth="1"/>
    <col min="5" max="5" width="36" customWidth="1"/>
  </cols>
  <sheetData>
    <row r="1" spans="1:5" ht="24" customHeight="1">
      <c r="A1" s="7" t="s">
        <v>544</v>
      </c>
      <c r="B1" s="7"/>
      <c r="C1" s="7"/>
      <c r="D1" s="7"/>
      <c r="E1" s="7"/>
    </row>
    <row r="2" spans="1:5" ht="18" customHeight="1">
      <c r="A2" s="6" t="s">
        <v>545</v>
      </c>
      <c r="B2" s="6"/>
      <c r="C2" s="6"/>
      <c r="D2" s="6"/>
      <c r="E2" s="6"/>
    </row>
    <row r="4" spans="1:5" ht="15" customHeight="1">
      <c r="A4" s="9" t="s">
        <v>495</v>
      </c>
      <c r="B4" s="9" t="s">
        <v>520</v>
      </c>
      <c r="C4" s="9" t="s">
        <v>546</v>
      </c>
      <c r="D4" s="9" t="s">
        <v>547</v>
      </c>
      <c r="E4" s="9" t="s">
        <v>30</v>
      </c>
    </row>
    <row r="5" spans="1:5" ht="23.25" customHeight="1">
      <c r="A5" s="8" t="s">
        <v>548</v>
      </c>
      <c r="B5" s="8" t="s">
        <v>549</v>
      </c>
      <c r="C5" s="8">
        <v>11424</v>
      </c>
      <c r="D5" s="8" t="s">
        <v>422</v>
      </c>
      <c r="E5" s="8" t="s">
        <v>550</v>
      </c>
    </row>
    <row r="6" spans="1:5" ht="23.25" customHeight="1">
      <c r="A6" s="19" t="s">
        <v>551</v>
      </c>
      <c r="B6" s="19" t="s">
        <v>549</v>
      </c>
      <c r="C6" s="8">
        <v>11424</v>
      </c>
      <c r="D6" s="19" t="s">
        <v>422</v>
      </c>
      <c r="E6" s="8" t="s">
        <v>550</v>
      </c>
    </row>
    <row r="7" spans="1:5" ht="23.25" customHeight="1">
      <c r="A7" s="8" t="s">
        <v>552</v>
      </c>
      <c r="B7" s="8" t="s">
        <v>549</v>
      </c>
      <c r="C7" s="8">
        <v>714</v>
      </c>
      <c r="D7" s="8" t="s">
        <v>422</v>
      </c>
      <c r="E7" s="8" t="s">
        <v>553</v>
      </c>
    </row>
    <row r="8" spans="1:5" ht="15" customHeight="1">
      <c r="A8" s="19" t="s">
        <v>554</v>
      </c>
      <c r="B8" s="19" t="s">
        <v>549</v>
      </c>
      <c r="C8" s="19">
        <v>1254</v>
      </c>
      <c r="D8" s="19" t="s">
        <v>422</v>
      </c>
      <c r="E8" s="19" t="s">
        <v>555</v>
      </c>
    </row>
    <row r="9" spans="1:5" ht="15" customHeight="1">
      <c r="A9" s="8" t="s">
        <v>556</v>
      </c>
      <c r="B9" s="8" t="s">
        <v>557</v>
      </c>
      <c r="C9" s="8">
        <v>251</v>
      </c>
      <c r="D9" s="8" t="s">
        <v>216</v>
      </c>
      <c r="E9" s="8"/>
    </row>
    <row r="10" spans="1:5" ht="15" customHeight="1">
      <c r="A10" s="19" t="s">
        <v>558</v>
      </c>
      <c r="B10" s="19" t="s">
        <v>557</v>
      </c>
      <c r="C10" s="19">
        <v>56</v>
      </c>
      <c r="D10" s="19" t="s">
        <v>216</v>
      </c>
      <c r="E10" s="19"/>
    </row>
    <row r="11" spans="1:5" ht="15" customHeight="1">
      <c r="A11" s="8" t="s">
        <v>559</v>
      </c>
      <c r="B11" s="8" t="s">
        <v>557</v>
      </c>
      <c r="C11" s="8">
        <v>502</v>
      </c>
      <c r="D11" s="8" t="s">
        <v>216</v>
      </c>
      <c r="E11" s="8" t="s">
        <v>560</v>
      </c>
    </row>
    <row r="12" spans="1:5" ht="15" customHeight="1">
      <c r="A12" s="19" t="s">
        <v>561</v>
      </c>
      <c r="B12" s="19" t="s">
        <v>557</v>
      </c>
      <c r="C12" s="19">
        <v>669</v>
      </c>
      <c r="D12" s="19" t="s">
        <v>216</v>
      </c>
      <c r="E12" s="19" t="s">
        <v>562</v>
      </c>
    </row>
    <row r="13" spans="1:5" ht="15" customHeight="1">
      <c r="A13" s="8" t="s">
        <v>563</v>
      </c>
      <c r="B13" s="8" t="s">
        <v>557</v>
      </c>
      <c r="C13" s="8">
        <v>627</v>
      </c>
      <c r="D13" s="8" t="s">
        <v>216</v>
      </c>
      <c r="E13" s="8" t="s">
        <v>564</v>
      </c>
    </row>
    <row r="14" spans="1:5" ht="15" customHeight="1">
      <c r="A14" s="19" t="s">
        <v>565</v>
      </c>
      <c r="B14" s="19" t="s">
        <v>557</v>
      </c>
      <c r="C14" s="19">
        <v>84</v>
      </c>
      <c r="D14" s="19" t="s">
        <v>216</v>
      </c>
      <c r="E14" s="19" t="s">
        <v>566</v>
      </c>
    </row>
    <row r="15" spans="1:5" ht="15" customHeight="1">
      <c r="A15" s="8" t="s">
        <v>567</v>
      </c>
      <c r="B15" s="8" t="s">
        <v>568</v>
      </c>
      <c r="C15" s="21">
        <v>3130.24</v>
      </c>
      <c r="D15" s="8" t="s">
        <v>422</v>
      </c>
      <c r="E15" s="8" t="s">
        <v>569</v>
      </c>
    </row>
    <row r="16" spans="1:5" ht="15" customHeight="1">
      <c r="A16" s="19" t="s">
        <v>570</v>
      </c>
      <c r="B16" s="19" t="s">
        <v>568</v>
      </c>
      <c r="C16" s="21">
        <v>701.96</v>
      </c>
      <c r="D16" s="19" t="s">
        <v>422</v>
      </c>
      <c r="E16" s="19" t="s">
        <v>571</v>
      </c>
    </row>
    <row r="17" spans="1:5" ht="15" customHeight="1">
      <c r="A17" s="8" t="s">
        <v>572</v>
      </c>
      <c r="B17" s="8" t="s">
        <v>568</v>
      </c>
      <c r="C17" s="21">
        <v>2413.58</v>
      </c>
      <c r="D17" s="8" t="s">
        <v>422</v>
      </c>
      <c r="E17" s="8" t="s">
        <v>573</v>
      </c>
    </row>
    <row r="18" spans="1:5" ht="15" customHeight="1">
      <c r="A18" s="19" t="s">
        <v>574</v>
      </c>
      <c r="B18" s="19" t="s">
        <v>568</v>
      </c>
      <c r="C18" s="21">
        <v>1524.84</v>
      </c>
      <c r="D18" s="8" t="s">
        <v>422</v>
      </c>
      <c r="E18" s="19" t="s">
        <v>575</v>
      </c>
    </row>
    <row r="19" spans="1:5" ht="15" customHeight="1">
      <c r="A19" s="8" t="s">
        <v>576</v>
      </c>
      <c r="B19" s="8" t="s">
        <v>568</v>
      </c>
      <c r="C19" s="21">
        <v>968.37</v>
      </c>
      <c r="D19" s="8" t="s">
        <v>422</v>
      </c>
      <c r="E19" s="8" t="s">
        <v>577</v>
      </c>
    </row>
    <row r="20" spans="1:5" ht="15" customHeight="1">
      <c r="A20" s="19" t="s">
        <v>578</v>
      </c>
      <c r="B20" s="19" t="s">
        <v>568</v>
      </c>
      <c r="C20" s="21">
        <v>2137.66</v>
      </c>
      <c r="D20" s="8" t="s">
        <v>422</v>
      </c>
      <c r="E20" s="19" t="s">
        <v>579</v>
      </c>
    </row>
    <row r="21" spans="1:5" ht="15" customHeight="1">
      <c r="A21" s="8" t="s">
        <v>580</v>
      </c>
      <c r="B21" s="8" t="s">
        <v>568</v>
      </c>
      <c r="C21" s="21">
        <v>7808.93</v>
      </c>
      <c r="D21" s="8" t="s">
        <v>422</v>
      </c>
      <c r="E21" s="8" t="s">
        <v>581</v>
      </c>
    </row>
    <row r="22" spans="1:5" ht="15" customHeight="1">
      <c r="A22" s="19" t="s">
        <v>582</v>
      </c>
      <c r="B22" s="19" t="s">
        <v>583</v>
      </c>
      <c r="C22" s="19">
        <v>192</v>
      </c>
      <c r="D22" s="19" t="s">
        <v>422</v>
      </c>
      <c r="E22" s="19" t="s">
        <v>584</v>
      </c>
    </row>
    <row r="23" spans="1:5" ht="15" customHeight="1">
      <c r="A23" s="8" t="s">
        <v>585</v>
      </c>
      <c r="B23" s="8" t="s">
        <v>586</v>
      </c>
      <c r="C23" s="8">
        <v>1254</v>
      </c>
      <c r="D23" s="8" t="s">
        <v>216</v>
      </c>
      <c r="E23" s="8" t="s">
        <v>587</v>
      </c>
    </row>
    <row r="24" spans="1:5" ht="15" customHeight="1">
      <c r="A24" s="19" t="s">
        <v>588</v>
      </c>
      <c r="B24" s="19" t="s">
        <v>589</v>
      </c>
      <c r="C24" s="19">
        <v>125</v>
      </c>
      <c r="D24" s="19" t="s">
        <v>216</v>
      </c>
      <c r="E24" s="19" t="s">
        <v>590</v>
      </c>
    </row>
    <row r="26" spans="1:5" ht="15" customHeight="1">
      <c r="A26" s="22" t="s">
        <v>591</v>
      </c>
    </row>
    <row r="27" spans="1:5" ht="15" customHeight="1">
      <c r="A27" s="23" t="s">
        <v>549</v>
      </c>
      <c r="B27" s="12"/>
      <c r="C27" s="23">
        <f t="shared" ref="C27:C32" si="0">SUMIF($B$5:$B$24,A27,$C$5:$C$24)</f>
        <v>24816</v>
      </c>
    </row>
    <row r="28" spans="1:5" ht="15" customHeight="1">
      <c r="A28" s="23" t="s">
        <v>557</v>
      </c>
      <c r="B28" s="12"/>
      <c r="C28" s="23">
        <f t="shared" si="0"/>
        <v>2189</v>
      </c>
    </row>
    <row r="29" spans="1:5" ht="15" customHeight="1">
      <c r="A29" s="23" t="s">
        <v>568</v>
      </c>
      <c r="B29" s="12"/>
      <c r="C29" s="23">
        <f t="shared" si="0"/>
        <v>18685.580000000002</v>
      </c>
    </row>
    <row r="30" spans="1:5" ht="15" customHeight="1">
      <c r="A30" s="23" t="s">
        <v>583</v>
      </c>
      <c r="B30" s="12"/>
      <c r="C30" s="23">
        <f t="shared" si="0"/>
        <v>192</v>
      </c>
    </row>
    <row r="31" spans="1:5" ht="15" customHeight="1">
      <c r="A31" s="23" t="s">
        <v>586</v>
      </c>
      <c r="B31" s="12"/>
      <c r="C31" s="23">
        <f t="shared" si="0"/>
        <v>1254</v>
      </c>
    </row>
    <row r="32" spans="1:5" ht="15" customHeight="1">
      <c r="A32" s="23" t="s">
        <v>589</v>
      </c>
      <c r="B32" s="12"/>
      <c r="C32" s="23">
        <f t="shared" si="0"/>
        <v>125</v>
      </c>
    </row>
    <row r="33" spans="1:5" ht="15" customHeight="1">
      <c r="A33" s="11" t="s">
        <v>592</v>
      </c>
      <c r="B33" s="12"/>
      <c r="C33" s="24">
        <f>SUM(C5:C24)</f>
        <v>47261.579999999994</v>
      </c>
    </row>
    <row r="34" spans="1:5" ht="15" customHeight="1">
      <c r="A34" s="5" t="s">
        <v>593</v>
      </c>
      <c r="B34" s="5"/>
      <c r="C34" s="5"/>
      <c r="D34" s="5"/>
      <c r="E34" s="5"/>
    </row>
  </sheetData>
  <mergeCells count="3">
    <mergeCell ref="A1:E1"/>
    <mergeCell ref="A2:E2"/>
    <mergeCell ref="A34:E34"/>
  </mergeCells>
  <dataValidations count="1">
    <dataValidation type="list" allowBlank="1" sqref="D5:D24" xr:uid="{00000000-0002-0000-0700-000000000000}">
      <formula1>"Yes,No,Partial"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6770"/>
  </sheetPr>
  <dimension ref="A1:B22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5"/>
  <cols>
    <col min="1" max="1" width="28" customWidth="1"/>
    <col min="2" max="2" width="80" customWidth="1"/>
  </cols>
  <sheetData>
    <row r="1" spans="1:2" ht="24" customHeight="1">
      <c r="A1" s="7" t="s">
        <v>594</v>
      </c>
      <c r="B1" s="7"/>
    </row>
    <row r="2" spans="1:2" ht="18" customHeight="1">
      <c r="A2" s="6" t="s">
        <v>595</v>
      </c>
      <c r="B2" s="6"/>
    </row>
    <row r="4" spans="1:2" ht="18" customHeight="1">
      <c r="A4" s="4" t="s">
        <v>596</v>
      </c>
      <c r="B4" s="4"/>
    </row>
    <row r="5" spans="1:2" ht="15" customHeight="1">
      <c r="A5" s="9" t="s">
        <v>597</v>
      </c>
      <c r="B5" s="9" t="s">
        <v>598</v>
      </c>
    </row>
    <row r="6" spans="1:2" ht="15" customHeight="1">
      <c r="A6" s="8" t="s">
        <v>275</v>
      </c>
      <c r="B6" s="8" t="s">
        <v>599</v>
      </c>
    </row>
    <row r="7" spans="1:2" ht="23.25" customHeight="1">
      <c r="A7" s="19" t="s">
        <v>600</v>
      </c>
      <c r="B7" s="19" t="s">
        <v>601</v>
      </c>
    </row>
    <row r="8" spans="1:2" ht="15" customHeight="1">
      <c r="A8" s="8" t="s">
        <v>602</v>
      </c>
      <c r="B8" s="8" t="s">
        <v>603</v>
      </c>
    </row>
    <row r="9" spans="1:2" ht="15" customHeight="1">
      <c r="A9" s="19" t="s">
        <v>604</v>
      </c>
      <c r="B9" s="19" t="s">
        <v>605</v>
      </c>
    </row>
    <row r="10" spans="1:2" ht="23.25" customHeight="1">
      <c r="A10" s="8" t="s">
        <v>606</v>
      </c>
      <c r="B10" s="8" t="s">
        <v>607</v>
      </c>
    </row>
    <row r="11" spans="1:2" ht="15" customHeight="1">
      <c r="A11" s="19" t="s">
        <v>608</v>
      </c>
      <c r="B11" s="19" t="s">
        <v>609</v>
      </c>
    </row>
    <row r="12" spans="1:2" ht="15" customHeight="1">
      <c r="A12" s="8" t="s">
        <v>610</v>
      </c>
      <c r="B12" s="8" t="s">
        <v>611</v>
      </c>
    </row>
    <row r="13" spans="1:2" ht="15" customHeight="1">
      <c r="A13" s="19" t="s">
        <v>612</v>
      </c>
      <c r="B13" s="19" t="s">
        <v>613</v>
      </c>
    </row>
    <row r="14" spans="1:2" ht="15" customHeight="1">
      <c r="A14" s="8" t="s">
        <v>614</v>
      </c>
      <c r="B14" s="8" t="s">
        <v>615</v>
      </c>
    </row>
    <row r="16" spans="1:2" ht="18" customHeight="1">
      <c r="A16" s="4" t="s">
        <v>616</v>
      </c>
      <c r="B16" s="4"/>
    </row>
    <row r="17" spans="1:2" ht="15" customHeight="1">
      <c r="A17" s="8" t="s">
        <v>617</v>
      </c>
      <c r="B17" s="8" t="s">
        <v>618</v>
      </c>
    </row>
    <row r="18" spans="1:2" ht="15" customHeight="1">
      <c r="A18" s="19" t="s">
        <v>619</v>
      </c>
      <c r="B18" s="19" t="s">
        <v>620</v>
      </c>
    </row>
    <row r="19" spans="1:2" ht="15" customHeight="1">
      <c r="A19" s="8" t="s">
        <v>621</v>
      </c>
      <c r="B19" s="8" t="s">
        <v>622</v>
      </c>
    </row>
    <row r="20" spans="1:2" ht="15" customHeight="1">
      <c r="A20" s="19" t="s">
        <v>623</v>
      </c>
      <c r="B20" s="19" t="s">
        <v>624</v>
      </c>
    </row>
    <row r="21" spans="1:2" ht="15" customHeight="1">
      <c r="A21" s="8" t="s">
        <v>625</v>
      </c>
      <c r="B21" s="8" t="s">
        <v>626</v>
      </c>
    </row>
    <row r="22" spans="1:2" ht="15" customHeight="1">
      <c r="A22" s="19" t="s">
        <v>627</v>
      </c>
      <c r="B22" s="19" t="s">
        <v>628</v>
      </c>
    </row>
  </sheetData>
  <mergeCells count="4">
    <mergeCell ref="A1:B1"/>
    <mergeCell ref="A2:B2"/>
    <mergeCell ref="A4:B4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E7B4C"/>
  </sheetPr>
  <dimension ref="A1:C49"/>
  <sheetViews>
    <sheetView zoomScaleNormal="100" workbookViewId="0">
      <pane ySplit="44" topLeftCell="A45" activePane="bottomLeft" state="frozen"/>
      <selection pane="bottomLeft"/>
    </sheetView>
  </sheetViews>
  <sheetFormatPr baseColWidth="10" defaultColWidth="8.6640625" defaultRowHeight="15"/>
  <cols>
    <col min="1" max="1" width="40" customWidth="1"/>
    <col min="2" max="2" width="10" customWidth="1"/>
    <col min="3" max="3" width="12" customWidth="1"/>
  </cols>
  <sheetData>
    <row r="1" spans="1:3" ht="24" customHeight="1">
      <c r="A1" s="7" t="s">
        <v>629</v>
      </c>
      <c r="B1" s="7"/>
      <c r="C1" s="7"/>
    </row>
    <row r="2" spans="1:3" ht="18" customHeight="1">
      <c r="A2" s="6" t="s">
        <v>630</v>
      </c>
      <c r="B2" s="6"/>
      <c r="C2" s="6"/>
    </row>
    <row r="4" spans="1:3" ht="18" customHeight="1">
      <c r="A4" s="4" t="s">
        <v>631</v>
      </c>
      <c r="B4" s="4"/>
      <c r="C4" s="4"/>
    </row>
    <row r="5" spans="1:3" ht="15" customHeight="1">
      <c r="A5" s="9" t="s">
        <v>495</v>
      </c>
      <c r="B5" s="9" t="s">
        <v>632</v>
      </c>
      <c r="C5" s="9" t="s">
        <v>633</v>
      </c>
    </row>
    <row r="6" spans="1:3" ht="15" customHeight="1">
      <c r="A6" s="8" t="s">
        <v>634</v>
      </c>
      <c r="B6" s="8" t="s">
        <v>635</v>
      </c>
      <c r="C6" s="8" t="s">
        <v>216</v>
      </c>
    </row>
    <row r="7" spans="1:3" ht="15" customHeight="1">
      <c r="A7" s="19" t="s">
        <v>636</v>
      </c>
      <c r="B7" s="19" t="s">
        <v>103</v>
      </c>
      <c r="C7" s="19" t="s">
        <v>422</v>
      </c>
    </row>
    <row r="8" spans="1:3" ht="15" customHeight="1">
      <c r="A8" s="8" t="s">
        <v>637</v>
      </c>
      <c r="B8" s="8" t="s">
        <v>103</v>
      </c>
      <c r="C8" s="8" t="s">
        <v>216</v>
      </c>
    </row>
    <row r="9" spans="1:3" ht="15" customHeight="1">
      <c r="A9" s="19" t="s">
        <v>638</v>
      </c>
      <c r="B9" s="19" t="s">
        <v>103</v>
      </c>
      <c r="C9" s="19" t="s">
        <v>422</v>
      </c>
    </row>
    <row r="10" spans="1:3" ht="15" customHeight="1">
      <c r="A10" s="8" t="s">
        <v>639</v>
      </c>
      <c r="B10" s="8" t="s">
        <v>103</v>
      </c>
      <c r="C10" s="8" t="s">
        <v>422</v>
      </c>
    </row>
    <row r="11" spans="1:3" ht="15" customHeight="1">
      <c r="A11" s="19" t="s">
        <v>640</v>
      </c>
      <c r="B11" s="19" t="s">
        <v>103</v>
      </c>
      <c r="C11" s="19" t="s">
        <v>216</v>
      </c>
    </row>
    <row r="13" spans="1:3" ht="18" customHeight="1">
      <c r="A13" s="4" t="s">
        <v>641</v>
      </c>
      <c r="B13" s="4"/>
      <c r="C13" s="4"/>
    </row>
    <row r="14" spans="1:3" ht="15" customHeight="1">
      <c r="A14" s="9" t="s">
        <v>495</v>
      </c>
      <c r="B14" s="9" t="s">
        <v>632</v>
      </c>
      <c r="C14" s="9" t="s">
        <v>633</v>
      </c>
    </row>
    <row r="15" spans="1:3" ht="15" customHeight="1">
      <c r="A15" s="8" t="s">
        <v>642</v>
      </c>
      <c r="B15" s="8" t="s">
        <v>643</v>
      </c>
      <c r="C15" s="8" t="s">
        <v>216</v>
      </c>
    </row>
    <row r="16" spans="1:3" ht="15" customHeight="1">
      <c r="A16" s="19" t="s">
        <v>644</v>
      </c>
      <c r="B16" s="19" t="s">
        <v>645</v>
      </c>
      <c r="C16" s="19" t="s">
        <v>216</v>
      </c>
    </row>
    <row r="17" spans="1:3" ht="15" customHeight="1">
      <c r="A17" s="8" t="s">
        <v>646</v>
      </c>
      <c r="B17" s="8" t="s">
        <v>645</v>
      </c>
      <c r="C17" s="8" t="s">
        <v>216</v>
      </c>
    </row>
    <row r="18" spans="1:3" ht="15" customHeight="1">
      <c r="A18" s="19" t="s">
        <v>647</v>
      </c>
      <c r="B18" s="19" t="s">
        <v>648</v>
      </c>
      <c r="C18" s="19" t="s">
        <v>216</v>
      </c>
    </row>
    <row r="19" spans="1:3" ht="15" customHeight="1">
      <c r="A19" s="8" t="s">
        <v>649</v>
      </c>
      <c r="B19" s="8" t="s">
        <v>648</v>
      </c>
      <c r="C19" s="8" t="s">
        <v>216</v>
      </c>
    </row>
    <row r="20" spans="1:3" ht="15" customHeight="1">
      <c r="A20" s="19" t="s">
        <v>650</v>
      </c>
      <c r="B20" s="19" t="s">
        <v>635</v>
      </c>
      <c r="C20" s="19" t="s">
        <v>216</v>
      </c>
    </row>
    <row r="21" spans="1:3" ht="15" customHeight="1">
      <c r="A21" s="8" t="s">
        <v>651</v>
      </c>
      <c r="B21" s="8" t="s">
        <v>652</v>
      </c>
      <c r="C21" s="8" t="s">
        <v>216</v>
      </c>
    </row>
    <row r="22" spans="1:3" ht="15" customHeight="1">
      <c r="A22" s="19" t="s">
        <v>653</v>
      </c>
      <c r="B22" s="19" t="s">
        <v>654</v>
      </c>
      <c r="C22" s="19" t="s">
        <v>216</v>
      </c>
    </row>
    <row r="23" spans="1:3" ht="15" customHeight="1">
      <c r="A23" s="8" t="s">
        <v>655</v>
      </c>
      <c r="B23" s="8" t="s">
        <v>103</v>
      </c>
      <c r="C23" s="8" t="s">
        <v>216</v>
      </c>
    </row>
    <row r="24" spans="1:3" ht="15" customHeight="1">
      <c r="A24" s="19" t="s">
        <v>656</v>
      </c>
      <c r="B24" s="19" t="s">
        <v>635</v>
      </c>
      <c r="C24" s="19" t="s">
        <v>216</v>
      </c>
    </row>
    <row r="26" spans="1:3" ht="18" customHeight="1">
      <c r="A26" s="4" t="s">
        <v>657</v>
      </c>
      <c r="B26" s="4"/>
      <c r="C26" s="4"/>
    </row>
    <row r="27" spans="1:3" ht="15" customHeight="1">
      <c r="A27" s="9" t="s">
        <v>495</v>
      </c>
      <c r="B27" s="9" t="s">
        <v>632</v>
      </c>
      <c r="C27" s="9" t="s">
        <v>633</v>
      </c>
    </row>
    <row r="28" spans="1:3" ht="15" customHeight="1">
      <c r="A28" s="8" t="s">
        <v>658</v>
      </c>
      <c r="B28" s="8" t="s">
        <v>635</v>
      </c>
      <c r="C28" s="8" t="s">
        <v>216</v>
      </c>
    </row>
    <row r="29" spans="1:3" ht="15" customHeight="1">
      <c r="A29" s="19" t="s">
        <v>659</v>
      </c>
      <c r="B29" s="19" t="s">
        <v>103</v>
      </c>
      <c r="C29" s="19" t="s">
        <v>216</v>
      </c>
    </row>
    <row r="30" spans="1:3" ht="15" customHeight="1">
      <c r="A30" s="8" t="s">
        <v>660</v>
      </c>
      <c r="B30" s="8" t="s">
        <v>103</v>
      </c>
      <c r="C30" s="8" t="s">
        <v>216</v>
      </c>
    </row>
    <row r="31" spans="1:3" ht="15" customHeight="1">
      <c r="A31" s="19" t="s">
        <v>661</v>
      </c>
      <c r="B31" s="19" t="s">
        <v>103</v>
      </c>
      <c r="C31" s="19" t="s">
        <v>216</v>
      </c>
    </row>
    <row r="32" spans="1:3" ht="15" customHeight="1">
      <c r="A32" s="8" t="s">
        <v>662</v>
      </c>
      <c r="B32" s="8" t="s">
        <v>103</v>
      </c>
      <c r="C32" s="8" t="s">
        <v>216</v>
      </c>
    </row>
    <row r="33" spans="1:3" ht="15" customHeight="1">
      <c r="A33" s="19" t="s">
        <v>663</v>
      </c>
      <c r="B33" s="19" t="s">
        <v>103</v>
      </c>
      <c r="C33" s="19" t="s">
        <v>216</v>
      </c>
    </row>
    <row r="35" spans="1:3" ht="18" customHeight="1">
      <c r="A35" s="4" t="s">
        <v>664</v>
      </c>
      <c r="B35" s="4"/>
      <c r="C35" s="4"/>
    </row>
    <row r="36" spans="1:3" ht="15" customHeight="1">
      <c r="A36" s="9" t="s">
        <v>495</v>
      </c>
      <c r="B36" s="9" t="s">
        <v>632</v>
      </c>
      <c r="C36" s="9" t="s">
        <v>633</v>
      </c>
    </row>
    <row r="37" spans="1:3" ht="15" customHeight="1">
      <c r="A37" s="8" t="s">
        <v>665</v>
      </c>
      <c r="B37" s="8" t="s">
        <v>103</v>
      </c>
      <c r="C37" s="8" t="s">
        <v>216</v>
      </c>
    </row>
    <row r="38" spans="1:3" ht="15" customHeight="1">
      <c r="A38" s="19" t="s">
        <v>666</v>
      </c>
      <c r="B38" s="19" t="s">
        <v>648</v>
      </c>
      <c r="C38" s="19" t="s">
        <v>216</v>
      </c>
    </row>
    <row r="39" spans="1:3" ht="15" customHeight="1">
      <c r="A39" s="8" t="s">
        <v>667</v>
      </c>
      <c r="B39" s="8" t="s">
        <v>103</v>
      </c>
      <c r="C39" s="8" t="s">
        <v>216</v>
      </c>
    </row>
    <row r="40" spans="1:3" ht="15" customHeight="1">
      <c r="A40" s="19" t="s">
        <v>668</v>
      </c>
      <c r="B40" s="19" t="s">
        <v>103</v>
      </c>
      <c r="C40" s="19" t="s">
        <v>216</v>
      </c>
    </row>
    <row r="41" spans="1:3" ht="15" customHeight="1">
      <c r="A41" s="8" t="s">
        <v>669</v>
      </c>
      <c r="B41" s="8" t="s">
        <v>103</v>
      </c>
      <c r="C41" s="8" t="s">
        <v>216</v>
      </c>
    </row>
    <row r="43" spans="1:3" ht="18" customHeight="1">
      <c r="A43" s="4" t="s">
        <v>670</v>
      </c>
      <c r="B43" s="4"/>
      <c r="C43" s="4"/>
    </row>
    <row r="44" spans="1:3" ht="15" customHeight="1">
      <c r="A44" s="9" t="s">
        <v>495</v>
      </c>
      <c r="B44" s="9" t="s">
        <v>632</v>
      </c>
      <c r="C44" s="9" t="s">
        <v>633</v>
      </c>
    </row>
    <row r="45" spans="1:3" ht="15" customHeight="1">
      <c r="A45" s="8" t="s">
        <v>671</v>
      </c>
      <c r="B45" s="8" t="s">
        <v>648</v>
      </c>
      <c r="C45" s="8" t="s">
        <v>216</v>
      </c>
    </row>
    <row r="46" spans="1:3" ht="15" customHeight="1">
      <c r="A46" s="19" t="s">
        <v>672</v>
      </c>
      <c r="B46" s="19" t="s">
        <v>648</v>
      </c>
      <c r="C46" s="19" t="s">
        <v>216</v>
      </c>
    </row>
    <row r="47" spans="1:3" ht="15" customHeight="1">
      <c r="A47" s="8" t="s">
        <v>673</v>
      </c>
      <c r="B47" s="8" t="s">
        <v>103</v>
      </c>
      <c r="C47" s="8" t="s">
        <v>216</v>
      </c>
    </row>
    <row r="48" spans="1:3" ht="15" customHeight="1">
      <c r="A48" s="19" t="s">
        <v>674</v>
      </c>
      <c r="B48" s="19" t="s">
        <v>103</v>
      </c>
      <c r="C48" s="19" t="s">
        <v>216</v>
      </c>
    </row>
    <row r="49" spans="1:3" ht="15" customHeight="1">
      <c r="A49" s="8" t="s">
        <v>675</v>
      </c>
      <c r="B49" s="8" t="s">
        <v>103</v>
      </c>
      <c r="C49" s="8" t="s">
        <v>216</v>
      </c>
    </row>
  </sheetData>
  <mergeCells count="7">
    <mergeCell ref="A35:C35"/>
    <mergeCell ref="A43:C43"/>
    <mergeCell ref="A1:C1"/>
    <mergeCell ref="A2:C2"/>
    <mergeCell ref="A4:C4"/>
    <mergeCell ref="A13:C13"/>
    <mergeCell ref="A26:C26"/>
  </mergeCells>
  <dataValidations count="1">
    <dataValidation type="list" allowBlank="1" sqref="C6:C11 C15:C24 C28:C33 C37:C41 C45:C49" xr:uid="{00000000-0002-0000-09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Booking Checklist</vt:lpstr>
      <vt:lpstr>Transportation</vt:lpstr>
      <vt:lpstr>Lodging</vt:lpstr>
      <vt:lpstr>Itinerary</vt:lpstr>
      <vt:lpstr>Restaurants</vt:lpstr>
      <vt:lpstr>Attractions &amp; Tickets</vt:lpstr>
      <vt:lpstr>Budget</vt:lpstr>
      <vt:lpstr>Apps &amp; Links</vt:lpstr>
      <vt:lpstr>Packing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Gur Aven</cp:lastModifiedBy>
  <cp:revision>0</cp:revision>
  <dcterms:created xsi:type="dcterms:W3CDTF">2026-06-28T19:56:01Z</dcterms:created>
  <dcterms:modified xsi:type="dcterms:W3CDTF">2026-08-29T17:06:13Z</dcterms:modified>
  <dc:language>en-US</dc:language>
</cp:coreProperties>
</file>