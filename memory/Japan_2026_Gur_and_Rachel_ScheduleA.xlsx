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Overview" sheetId="1" state="visible" r:id="rId3"/>
    <sheet name="Booking Checklist" sheetId="2" state="visible" r:id="rId4"/>
    <sheet name="Transportation" sheetId="3" state="visible" r:id="rId5"/>
    <sheet name="Lodging" sheetId="4" state="visible" r:id="rId6"/>
    <sheet name="Itinerary" sheetId="5" state="visible" r:id="rId7"/>
    <sheet name="Restaurants" sheetId="6" state="visible" r:id="rId8"/>
    <sheet name="Attractions &amp; Tickets" sheetId="7" state="visible" r:id="rId9"/>
    <sheet name="Budget" sheetId="8" state="visible" r:id="rId10"/>
    <sheet name="Apps &amp; Links" sheetId="9" state="visible" r:id="rId11"/>
    <sheet name="Packin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<sst xmlns="http://schemas.openxmlformats.org/spreadsheetml/2006/main" count="1021" uniqueCount="631">
  <si>
    <t xml:space="preserve">JAPAN 2026  ·  Gur &amp; Rachel</t>
  </si>
  <si>
    <t xml:space="preserve">Sep 3–23, 2026 · 20 nights · Schedule A (Mountains) · adapted from Rachel G.’s 2025 planner</t>
  </si>
  <si>
    <t xml:space="preserve">TRIP SNAPSHOT</t>
  </si>
  <si>
    <t xml:space="preserve">Dates</t>
  </si>
  <si>
    <t xml:space="preserve">Thu Sep 3 – Wed Sep 23, 2026</t>
  </si>
  <si>
    <t xml:space="preserve">Depart TLV Sep 2 19:45 · land Narita Sep 3 13:20 · fly home Sep 23</t>
  </si>
  <si>
    <t xml:space="preserve">Travelers</t>
  </si>
  <si>
    <t xml:space="preserve">Couple (29)</t>
  </si>
  <si>
    <t xml:space="preserve">+ Rachel’s sister &amp; boyfriend join the Hokkaido leg (Sep 7–10)</t>
  </si>
  <si>
    <t xml:space="preserve">Flights ✓ BOOKED</t>
  </si>
  <si>
    <t xml:space="preserve">El Al LY91 / LY92 · Premium</t>
  </si>
  <si>
    <t xml:space="preserve">TLV→Narita Sep 2 19:45→Sep 3 13:20 · Narita→TLV Sep 23 15:35→22:20 (PNR YJ5PON)</t>
  </si>
  <si>
    <t xml:space="preserve">Domestic ✓ BOOKED</t>
  </si>
  <si>
    <t xml:space="preserve">ANA NH59 · Haneda→Sapporo</t>
  </si>
  <si>
    <t xml:space="preserve">Mon Sep 7: Haneda T2 10:00 → New Chitose 11:35 (ANA ref FMSXWA)</t>
  </si>
  <si>
    <t xml:space="preserve">Schedule</t>
  </si>
  <si>
    <t xml:space="preserve">A — Mountains</t>
  </si>
  <si>
    <t xml:space="preserve">Kyoto 4n · Osaka 2n · Takayama 3n (Kamikōchi + Shirakawa-gō)</t>
  </si>
  <si>
    <t xml:space="preserve">Route</t>
  </si>
  <si>
    <t xml:space="preserve">Tokyo → Hokkaido → Kyoto → Osaka → Takayama → Tokyo</t>
  </si>
  <si>
    <t xml:space="preserve">Tokyo capped at 8 nights total (4 front + 4 finale)</t>
  </si>
  <si>
    <t xml:space="preserve">Hotel strategy</t>
  </si>
  <si>
    <t xml:space="preserve">Splurge where it counts</t>
  </si>
  <si>
    <t xml:space="preserve">Go high on the Sep 9 onsen ryokan + Tokyo Silver-Week finale; mid/upscale elsewhere</t>
  </si>
  <si>
    <t xml:space="preserve">Rail</t>
  </si>
  <si>
    <t xml:space="preserve">No JR Pass</t>
  </si>
  <si>
    <t xml:space="preserve">Individual tickets + mobile Suica/ICOCA</t>
  </si>
  <si>
    <t xml:space="preserve">ROUTE &amp; NIGHTS</t>
  </si>
  <si>
    <t xml:space="preserve">Base</t>
  </si>
  <si>
    <t xml:space="preserve">Nights</t>
  </si>
  <si>
    <t xml:space="preserve">Notes</t>
  </si>
  <si>
    <t xml:space="preserve">Tokyo (front)</t>
  </si>
  <si>
    <t xml:space="preserve">Thu Sep 3 – Mon Sep 7</t>
  </si>
  <si>
    <t xml:space="preserve">West-side (Shibuya). ✓ Booked: Shibuya Stream Hotel — station-connected; Haneda limousine bus for the 7th.</t>
  </si>
  <si>
    <t xml:space="preserve">Sapporo</t>
  </si>
  <si>
    <t xml:space="preserve">Mon Sep 7 – Wed Sep 9</t>
  </si>
  <si>
    <t xml:space="preserve">Central Susukino. ✓ Booked: Sapporo Stream Hotel — atop Cocono Susukino, direct subway; Superior Double (Klook KGG392117).</t>
  </si>
  <si>
    <t xml:space="preserve">Onsen ryokan (Noboribetsu / Lake Tōya)</t>
  </si>
  <si>
    <t xml:space="preserve">Wed Sep 9 – Thu Sep 10</t>
  </si>
  <si>
    <t xml:space="preserve">⭐ ✓ Booked: Takinoya, Noboribetsu — 1 room for all 4; soak + kaiseki farewell. NON-REFUNDABLE.</t>
  </si>
  <si>
    <t xml:space="preserve">Kyoto</t>
  </si>
  <si>
    <t xml:space="preserve">Thu Sep 10 – Mon Sep 14</t>
  </si>
  <si>
    <t xml:space="preserve">Central downtown. ✓ Booked: HOTEL RINGS KYOTO — walkable to Nishiki, Pontochō, Gion.</t>
  </si>
  <si>
    <t xml:space="preserve">Osaka</t>
  </si>
  <si>
    <t xml:space="preserve">Mon Sep 14 – Wed Sep 16</t>
  </si>
  <si>
    <t xml:space="preserve">Namba/Shinsaibashi near Dōtonbori &amp; Kuromon. ✓ Booked: Hotel Royal Classic Osaka (100m from Namba).</t>
  </si>
  <si>
    <t xml:space="preserve">Takayama</t>
  </si>
  <si>
    <t xml:space="preserve">Takayama Sep 16–18 · Alps (Okuhida) Sep 18–19</t>
  </si>
  <si>
    <t xml:space="preserve">✓ Takayama Ouan (2n) + Kutsuroginoya Yuu, Okuhida (1n, private open-air bath). Shirakawa-gō + Kamikōchi.</t>
  </si>
  <si>
    <t xml:space="preserve">Tokyo (finale)</t>
  </si>
  <si>
    <t xml:space="preserve">Sat Sep 19 – Wed Sep 23</t>
  </si>
  <si>
    <t xml:space="preserve">⭐ Silver Week — ✓ BOOKED: The Tokyo Station Hotel (Klook YTX109746)</t>
  </si>
  <si>
    <t xml:space="preserve">TOTAL</t>
  </si>
  <si>
    <t xml:space="preserve">LOCKED DECISIONS (don’t re-litigate)</t>
  </si>
  <si>
    <t xml:space="preserve">•  Route fixed: Tokyo → Hokkaido → Kyoto → Osaka → Takayama → Tokyo.</t>
  </si>
  <si>
    <t xml:space="preserve">•  Tokyo capped at 8 nights on purpose (9 felt like too much).</t>
  </si>
  <si>
    <t xml:space="preserve">•  Hokkaido: Sapporo nights 1–2, then an onsen-ryokan night (Sep 9) at Noboribetsu or Lake Tōya.</t>
  </si>
  <si>
    <t xml:space="preserve">•  Fly, don’t rail, for Hokkaido: Haneda→New Chitose (Sep 7 AM); New Chitose→Osaka Itami (Sep 10).</t>
  </si>
  <si>
    <t xml:space="preserve">•  No full JR Pass — individual tickets + mobile Suica/ICOCA.</t>
  </si>
  <si>
    <t xml:space="preserve">•  No Hakone overnight, no Universal Studios. Fuji only as an optional clear-day side trip from Tokyo.</t>
  </si>
  <si>
    <t xml:space="preserve">•  Silver Week (Sep 19–23) is spent in Tokyo by design (best city to absorb the crowds).</t>
  </si>
  <si>
    <t xml:space="preserve">•  Kitchen-supply trail: Kappabashi (Tokyo) → Aritsugu (Kyoto/Nishiki) → Doguyasuji (Osaka).</t>
  </si>
  <si>
    <t xml:space="preserve">Note: weekday labels were corrected — Sep 3, 2026 is a THURSDAY. The original itinerary doc had every weekday in the front half shifted by one day. Silver Week 2026 = Sat Sep 19 – Wed Sep 23 (holidays Mon 21, Tue 22, Wed 23), so the fly-home day is a holiday — pad airport time.</t>
  </si>
  <si>
    <t xml:space="preserve">BOOKING CHECKLIST</t>
  </si>
  <si>
    <t xml:space="preserve">Work top-down. P0 = book now (Silver Week / sells out). Reserved train seats open exactly 1 month ahead at 10:00 JST.</t>
  </si>
  <si>
    <t xml:space="preserve">Priority</t>
  </si>
  <si>
    <t xml:space="preserve">Task</t>
  </si>
  <si>
    <t xml:space="preserve">Details</t>
  </si>
  <si>
    <t xml:space="preserve">Book / window opens</t>
  </si>
  <si>
    <t xml:space="preserve">Status</t>
  </si>
  <si>
    <t xml:space="preserve">Confirmation #</t>
  </si>
  <si>
    <t xml:space="preserve">P0</t>
  </si>
  <si>
    <t xml:space="preserve">Tokyo finale hotel (Sep 19–23)</t>
  </si>
  <si>
    <t xml:space="preserve">Silver Week — sells out months ahead</t>
  </si>
  <si>
    <t xml:space="preserve">Booked Jul 10</t>
  </si>
  <si>
    <t xml:space="preserve">Booked</t>
  </si>
  <si>
    <t xml:space="preserve">YTX109746</t>
  </si>
  <si>
    <t xml:space="preserve">The Tokyo Station Hotel · City View King (non-smoking) · via Klook · ₪7,808.93 · free-cancel to Sep 4 (02:00 JST)</t>
  </si>
  <si>
    <t xml:space="preserve">Takayama → Tokyo train seats (Sep 19)</t>
  </si>
  <si>
    <t xml:space="preserve">Hida + shinkansen via Nagoya; Silver Week</t>
  </si>
  <si>
    <t xml:space="preserve">Booked Aug 19</t>
  </si>
  <si>
    <t xml:space="preserve">E37835 (Eki-net) / 185319539 (bus)</t>
  </si>
  <si>
    <t xml:space="preserve">Exit via Matsumoto (Okuhida reroute): bus 26510 Hirayu 12:55→Matsumoto 14:23 (mobile ticket, seats 03A/B, ¥6,000/2) + Azusa 42 Matsumoto 15:10→Shinjuku 18:04 (car 5, 1-A/B, ¥13,460/2). ⚠ Pick up Azusa paper tickets at a JR East machine in Tokyo Sep 3–6 (QR / code 29372419579521238). Old 14:50 res E70454 refunded in full.</t>
  </si>
  <si>
    <t xml:space="preserve">Onsen ryokan (Noboribetsu / Lake Tōya, Sep 9)</t>
  </si>
  <si>
    <t xml:space="preserve">Private/outdoor bath + kaiseki; locks with sister &amp; bf</t>
  </si>
  <si>
    <t xml:space="preserve">Booked Jul 11</t>
  </si>
  <si>
    <t xml:space="preserve">JFN966234</t>
  </si>
  <si>
    <t xml:space="preserve">Takinoya (Noboribetsu) · 1 room for 4 · Klook · ₪4,827.15 · NON-REFUNDABLE · confirm vegan/veg meals ASAP</t>
  </si>
  <si>
    <t xml:space="preserve">P1</t>
  </si>
  <si>
    <t xml:space="preserve">Haneda → New Chitose flight (Mon Sep 7)</t>
  </si>
  <si>
    <t xml:space="preserve">ANA NH59, dep 10:00; ref FMSXWA</t>
  </si>
  <si>
    <t xml:space="preserve">Booked Jun 28</t>
  </si>
  <si>
    <t xml:space="preserve">New Chitose → Osaka Itami flight (Thu Sep 10)</t>
  </si>
  <si>
    <t xml:space="preserve">ANA NH984, dep ~14:00; ref DHYPIM</t>
  </si>
  <si>
    <t xml:space="preserve">Booked Jul 18</t>
  </si>
  <si>
    <t xml:space="preserve">DHYPIM</t>
  </si>
  <si>
    <t xml:space="preserve">teamLab tickets (Planets and/or Borderless)</t>
  </si>
  <si>
    <t xml:space="preserve">Planets for Sep 4; timed entry</t>
  </si>
  <si>
    <t xml:space="preserve">~1 month ahead</t>
  </si>
  <si>
    <t xml:space="preserve">To do</t>
  </si>
  <si>
    <t xml:space="preserve">Shibuya Sky timed entry (Sep 5 sunset)</t>
  </si>
  <si>
    <t xml:space="preserve">Sells out; sunset slots first to go</t>
  </si>
  <si>
    <t xml:space="preserve">Kaiseki / omakase dinners (Kyoto + Tokyo farewell)</t>
  </si>
  <si>
    <t xml:space="preserve">Gion kaiseki; Sep 22 farewell</t>
  </si>
  <si>
    <t xml:space="preserve">1–3 months ahead</t>
  </si>
  <si>
    <t xml:space="preserve">Udatsu Sushi Sep 4 ✓ (AutoReserve) · Nakahigashi Sep 11 ✓ (PC #885962) · FARO Sep 22 ✓ (#C3SAA5) · plus SG Club Sep 5 ✓, Hikiniku Sep 12 ✓, Kyōya Sep 17 ✓, IRORIYA Sep 20 ✓ · LE MiDi Sep 16 ✓ (AutoReserve, confirmed Aug 16) — ALL dinners booked ✓</t>
  </si>
  <si>
    <t xml:space="preserve">P2</t>
  </si>
  <si>
    <t xml:space="preserve">Hotels: Tokyo front, Sapporo, Kyoto, Osaka, Takayama</t>
  </si>
  <si>
    <t xml:space="preserve">All hotels now booked ✓ (Sapporo was the last)</t>
  </si>
  <si>
    <t xml:space="preserve">After P0</t>
  </si>
  <si>
    <t xml:space="preserve">Booked: Tokyo front (Shibuya Stream); Sapporo (Sapporo Stream, KGG392117); Kyoto (RINGS); Osaka (Royal Classic); Takayama Ouan 2n (ERB149933) + Alps Kutsuroginoya Yuu (GFV226893); onsen Takinoya (JFN966234). All lodging booked ✓.</t>
  </si>
  <si>
    <t xml:space="preserve">Osaka → Takayama Hida seats (Sep 16)</t>
  </si>
  <si>
    <t xml:space="preserve">Sit RIGHT leaving Nagoya for river views</t>
  </si>
  <si>
    <t xml:space="preserve">Booked Aug 16</t>
  </si>
  <si>
    <t xml:space="preserve">2001 (Smart-EX) / 45760 (e5489)</t>
  </si>
  <si>
    <t xml:space="preserve">Nozomi 84 Shin-Osaka 09:24→Nagoya 10:13 · car 14, seats 2-D/2-E · ¥12,560/2 · Smart-EX res 2001 (QR ticket or IC) + Hida 7 Nagoya 10:48→Takayama 13:12 · car 8, seats 9-C/9-D (D = river side) · ¥11,880/2 · e5489 res 45760, receipt AEC9782M · ⚠ pick up Hida paper tickets at a JR-West office/machine OUTSIDE the gates before boarding (bring Mastercard …1969 + 4-digit ID) — easiest at Shin-Osaka Sep 14–15</t>
  </si>
  <si>
    <t xml:space="preserve">Luggage forwarding (takkyūbin) plan</t>
  </si>
  <si>
    <t xml:space="preserve">Forward Osaka → Tokyo, bypass Takayama</t>
  </si>
  <si>
    <t xml:space="preserve">Decide before Sep 14</t>
  </si>
  <si>
    <t xml:space="preserve">eSIM / data</t>
  </si>
  <si>
    <t xml:space="preserve">Ubigi / Airalo, or pocket wifi</t>
  </si>
  <si>
    <t xml:space="preserve">Before departure</t>
  </si>
  <si>
    <t xml:space="preserve">Airport-train buffer for Sep 23</t>
  </si>
  <si>
    <t xml:space="preserve">Holiday traffic — leave early</t>
  </si>
  <si>
    <t xml:space="preserve">Plan</t>
  </si>
  <si>
    <t xml:space="preserve">P3</t>
  </si>
  <si>
    <t xml:space="preserve">Finalize per-city day plans</t>
  </si>
  <si>
    <t xml:space="preserve">Schedule A locked</t>
  </si>
  <si>
    <t xml:space="preserve">Ongoing</t>
  </si>
  <si>
    <t xml:space="preserve">Restaurant shortlist per city</t>
  </si>
  <si>
    <t xml:space="preserve">See Restaurants tab</t>
  </si>
  <si>
    <t xml:space="preserve">Fuji day-trip decision</t>
  </si>
  <si>
    <t xml:space="preserve">Weather-dependent; Sep 5 or 6</t>
  </si>
  <si>
    <t xml:space="preserve">Closer to date</t>
  </si>
  <si>
    <t xml:space="preserve">TRANSPORTATION</t>
  </si>
  <si>
    <t xml:space="preserve">Schedule A. Prices in ₪ (¥ converted at ₪1≈¥47.8; flights from $ at $1≈₪3.00, Jun 28 2026). Japanese tickets are sold in ¥.</t>
  </si>
  <si>
    <t xml:space="preserve">FLIGHTS</t>
  </si>
  <si>
    <t xml:space="preserve">Date</t>
  </si>
  <si>
    <t xml:space="preserve">Day</t>
  </si>
  <si>
    <t xml:space="preserve">Leg</t>
  </si>
  <si>
    <t xml:space="preserve">Mode / Line</t>
  </si>
  <si>
    <t xml:space="preserve">Duration</t>
  </si>
  <si>
    <t xml:space="preserve">Est. cost (₪/person)</t>
  </si>
  <si>
    <t xml:space="preserve">Reserve?</t>
  </si>
  <si>
    <t xml:space="preserve">Sep 2</t>
  </si>
  <si>
    <t xml:space="preserve">Wed</t>
  </si>
  <si>
    <t xml:space="preserve">Tel Aviv (TLV) → Tokyo Narita (NRT)</t>
  </si>
  <si>
    <t xml:space="preserve">El Al LY91 · Premium</t>
  </si>
  <si>
    <t xml:space="preserve">~11h35m</t>
  </si>
  <si>
    <t xml:space="preserve">booked</t>
  </si>
  <si>
    <t xml:space="preserve">—</t>
  </si>
  <si>
    <t xml:space="preserve">Dep TLV T3 19:45 → arr NRT T1 13:20 (Sep 3). PNR YJ5PON (Gur+Rachel); Gur also YFYDLE. 2 bags pp.</t>
  </si>
  <si>
    <t xml:space="preserve">Sep 7</t>
  </si>
  <si>
    <t xml:space="preserve">Mon</t>
  </si>
  <si>
    <t xml:space="preserve">Haneda (HND) → New Chitose (CTS)</t>
  </si>
  <si>
    <t xml:space="preserve">ANA NH59 · 787</t>
  </si>
  <si>
    <t xml:space="preserve">~1h35m</t>
  </si>
  <si>
    <t xml:space="preserve">~357</t>
  </si>
  <si>
    <t xml:space="preserve">✓ BOOKED — Haneda T2 10:00 → New Chitose T-D 11:35. Ref FMSXWA (Rachel + Gur). JR Rapid → Sapporo ~12:30.</t>
  </si>
  <si>
    <t xml:space="preserve">Sep 10</t>
  </si>
  <si>
    <t xml:space="preserve">Thu</t>
  </si>
  <si>
    <t xml:space="preserve">New Chitose (CTS) → Osaka Itami (ITM)</t>
  </si>
  <si>
    <t xml:space="preserve">ANA NH984 · 737-800</t>
  </si>
  <si>
    <t xml:space="preserve">~2h00m</t>
  </si>
  <si>
    <t xml:space="preserve">~627</t>
  </si>
  <si>
    <t xml:space="preserve">✓ BOOKED — New Chitose ~14:00 → Osaka Itami ~16:05 (ANA timetable; confirm exact time on e-ticket). Ref DHYPIM. Direct; Itami beats Kansai for Kyoto. Then Hankyu Limousine Bus → Kyoto.</t>
  </si>
  <si>
    <t xml:space="preserve">Sep 23</t>
  </si>
  <si>
    <t xml:space="preserve">Tokyo Narita (NRT) → Tel Aviv (TLV)</t>
  </si>
  <si>
    <t xml:space="preserve">El Al LY92 · Premium</t>
  </si>
  <si>
    <t xml:space="preserve">~12h45m</t>
  </si>
  <si>
    <t xml:space="preserve">Dep NRT T1 15:35 → arr TLV T3 22:20. Be at NRT ~13:00 (holiday — leave central Tokyo ~11:00).</t>
  </si>
  <si>
    <t xml:space="preserve">GROUND &amp; RAIL LEGS</t>
  </si>
  <si>
    <t xml:space="preserve">Sep 3</t>
  </si>
  <si>
    <t xml:space="preserve">Narita (NRT) → Tokyo hotel</t>
  </si>
  <si>
    <t xml:space="preserve">Keisei Skyliner / N’EX</t>
  </si>
  <si>
    <t xml:space="preserve">~60–90m</t>
  </si>
  <si>
    <t xml:space="preserve">55–75</t>
  </si>
  <si>
    <t xml:space="preserve">No</t>
  </si>
  <si>
    <t xml:space="preserve">You land at Narita T1 (not Haneda). Soft landing — don’t over-plan.</t>
  </si>
  <si>
    <t xml:space="preserve">New Chitose → Sapporo</t>
  </si>
  <si>
    <t xml:space="preserve">JR Rapid Airport</t>
  </si>
  <si>
    <t xml:space="preserve">~37m</t>
  </si>
  <si>
    <t xml:space="preserve">24</t>
  </si>
  <si>
    <t xml:space="preserve">Optional</t>
  </si>
  <si>
    <t xml:space="preserve">Every ~15 min. In central Sapporo by late morning for group lunch.</t>
  </si>
  <si>
    <t xml:space="preserve">Sep 9</t>
  </si>
  <si>
    <t xml:space="preserve">Sapporo → Noboribetsu</t>
  </si>
  <si>
    <t xml:space="preserve">Rental car (group, Sep 8–10)</t>
  </si>
  <si>
    <t xml:space="preserve">~1h45 drive</t>
  </si>
  <si>
    <t xml:space="preserve">Not needed</t>
  </si>
  <si>
    <t xml:space="preserve">🚗 DO NOT BOOK the train — the group rental car (Sep 8–10, Shakotan day + ryokan run) covers this. Drive Sapporo → Noboribetsu; stop at Jigokudani "Hell Valley" on arrival. Drivers need IDP booklets from Israel.</t>
  </si>
  <si>
    <t xml:space="preserve">Noboribetsu Onsen → New Chitose</t>
  </si>
  <si>
    <t xml:space="preserve">Rental car (group) → return at CTS</t>
  </si>
  <si>
    <t xml:space="preserve">~1h10 drive</t>
  </si>
  <si>
    <t xml:space="preserve">🚗 DO NOT BOOK the Donan bus — drive the rental car to New Chitose and return it at the airport before NH984 (~14:00 dep; be there ~12:00). Confirm car-return location/time with Tamar.</t>
  </si>
  <si>
    <t xml:space="preserve">Osaka Itami → Kyoto</t>
  </si>
  <si>
    <t xml:space="preserve">Hankyu Airport Limousine Bus</t>
  </si>
  <si>
    <t xml:space="preserve">~55m</t>
  </si>
  <si>
    <t xml:space="preserve">28</t>
  </si>
  <si>
    <t xml:space="preserve">Every 30 min to Kyoto Stn Hachijō (south) gate.</t>
  </si>
  <si>
    <t xml:space="preserve">Sep 16</t>
  </si>
  <si>
    <t xml:space="preserve">Shin-Osaka → Nagoya</t>
  </si>
  <si>
    <t xml:space="preserve">Tōkaidō Shinkansen · Nozomi 84</t>
  </si>
  <si>
    <t xml:space="preserve">49m</t>
  </si>
  <si>
    <t xml:space="preserve">~131</t>
  </si>
  <si>
    <t xml:space="preserve">Recommended</t>
  </si>
  <si>
    <t xml:space="preserve">✓ BOOKED Aug 16 via Smart-EX (res 2001, membership 4455495660). Shin-Osaka 09:24 → Nagoya 10:13, car 14, seats 2-D/2-E. ¥12,560 for 2 (~₪131 pp). Board with QR-Ticket (or designate IC cards). 35-min transfer to Hida 7. Forward luggage today.</t>
  </si>
  <si>
    <t xml:space="preserve">Nagoya → Takayama</t>
  </si>
  <si>
    <t xml:space="preserve">Ltd Exp Hida (HC85)</t>
  </si>
  <si>
    <t xml:space="preserve">~2h24m</t>
  </si>
  <si>
    <t xml:space="preserve">~124</t>
  </si>
  <si>
    <t xml:space="preserve">Yes — sit RIGHT</t>
  </si>
  <si>
    <t xml:space="preserve">✓ BOOKED Aug 16 via JR-WEST e5489 (res 45760, receipt AEC9782M). Hida 7: Nagoya 10:48 → Takayama 13:12, car 8, seats 9-C/9-D — D is the right/river side after Gifu. ¥11,880 for 2 (~₪124 pp). ⚠ Pick up paper tickets at a JR-West station office/e5489 machine outside the gates (Mastercard …1969 + 4-digit ID needed) — easiest at Shin-Osaka/Osaka Stn on Sep 14–15.</t>
  </si>
  <si>
    <t xml:space="preserve">Sep 19</t>
  </si>
  <si>
    <t xml:space="preserve">Sat</t>
  </si>
  <si>
    <t xml:space="preserve">Okuhida (Hirayu) → Matsumoto</t>
  </si>
  <si>
    <t xml:space="preserve">Nohi/Alpico highway bus 26510</t>
  </si>
  <si>
    <t xml:space="preserve">1h28m</t>
  </si>
  <si>
    <t xml:space="preserve">~63</t>
  </si>
  <si>
    <t xml:space="preserve">✓ BOOKED Aug 19 via highwaybus.com (res 185319539). Hirayu Onsen 12:55 → Matsumoto BT 14:23. Bus 1, seats 03A/03B. ¥6,000 for 2. 🎫 MOBILE TICKET — show the highwaybus.com email on your phone at boarding (screenshot it!); no ticket = pay again. Morning: local Nohi bus from ryokan (Tochio) to Hirayu BT, be there ~12:35. Cancel online only until 11:20 that day (¥100 pp).</t>
  </si>
  <si>
    <t xml:space="preserve">Matsumoto → Tokyo (Shinjuku)</t>
  </si>
  <si>
    <t xml:space="preserve">JR Azusa 42 (all-reserved)</t>
  </si>
  <si>
    <t xml:space="preserve">2h54m</t>
  </si>
  <si>
    <t xml:space="preserve">~141</t>
  </si>
  <si>
    <t xml:space="preserve">✓ BOOKED Aug 19 via Eki-net (res E37835; old 14:50 res E70454 refunded ¥13,460 in full). Azusa 42: Matsumoto 15:10 → Shinjuku 18:04. Car 5, seats 1-A/1-B. ¥13,460 for 2 (MC …6051). 🎫 Pick up PAPER tickets at any JR East machine with QR / pickup code 29372419579521238 — do it in Tokyo Sep 3–6 (calendar errand set for Sep 4). Base fare valid to all Tokyo-ward JR stations: at Shinjuku stay inside the gates, Chūō rapid → Tokyo Stn on the same ticket.</t>
  </si>
  <si>
    <t xml:space="preserve">Tokyo hotel → Narita (NRT)</t>
  </si>
  <si>
    <t xml:space="preserve">LY92 dep 15:35 — be at NRT ~13:00. Holiday; leave central Tokyo ~11:00.</t>
  </si>
  <si>
    <t xml:space="preserve">STANDING DECISIONS &amp; HOW-TO</t>
  </si>
  <si>
    <t xml:space="preserve">IC card</t>
  </si>
  <si>
    <t xml:space="preserve">Add mobile Suica to Apple Wallet (iPhone) and top up with a credit card. Welcome Suica Mobile app exists for tourists (iPhone only). ICOCA also adds to Apple Wallet. Physical unregistered Suica/PASMO resumed sale Mar 2025 (Android needs a physical card).</t>
  </si>
  <si>
    <t xml:space="preserve">Seat reservations</t>
  </si>
  <si>
    <t xml:space="preserve">Reserved seats open 1 month before at 10:00 JST. ✓ Osaka→Takayama (Sep 16) BOOKED Aug 16 (Smart-EX 2001 + e5489 45760). ✓ Sep 19 exit BOOKED Aug 19: bus Hirayu 12:55→Matsumoto 14:23 (highwaybus.com 185319539, mobile ticket) + Azusa 42 Matsumoto 15:10→Shinjuku 18:04 (Eki-net E37835, pick up paper tickets in Tokyo Sep 3–6). Remaining optional: N'EX Tokyo→Narita Sep 23 — window opens Aug 23 (same Eki-net account).</t>
  </si>
  <si>
    <t xml:space="preserve">Luggage forwarding</t>
  </si>
  <si>
    <t xml:space="preserve">Use Yamato takkyūbin: forward the big suitcases Osaka hotel → Tokyo finale hotel (bypass Takayama) and travel the 3 Takayama nights with small bags. Send by ~16:00; allow 1–2 days (Takayama is remote).</t>
  </si>
  <si>
    <t xml:space="preserve">Visit Japan Web</t>
  </si>
  <si>
    <t xml:space="preserve">Pre-register immigration + customs QR codes before landing Sep 3 to skip airport lines.</t>
  </si>
  <si>
    <t xml:space="preserve">LODGING</t>
  </si>
  <si>
    <t xml:space="preserve">Splurge on the ⭐ rows (onsen ryokan + Tokyo finale); mid/upscale elsewhere. Always favor free-cancellation rates.</t>
  </si>
  <si>
    <t xml:space="preserve">Base / area</t>
  </si>
  <si>
    <t xml:space="preserve">Check-in</t>
  </si>
  <si>
    <t xml:space="preserve">Check-out</t>
  </si>
  <si>
    <t xml:space="preserve">Target tier</t>
  </si>
  <si>
    <t xml:space="preserve">Candidate(s) — to fill</t>
  </si>
  <si>
    <t xml:space="preserve">Price est.</t>
  </si>
  <si>
    <t xml:space="preserve">Free-cancel until</t>
  </si>
  <si>
    <t xml:space="preserve">Tokyo front (Shibuya)</t>
  </si>
  <si>
    <t xml:space="preserve">Thu Sep 3</t>
  </si>
  <si>
    <t xml:space="preserve">Mon Sep 7</t>
  </si>
  <si>
    <t xml:space="preserve">Mid/Upscale</t>
  </si>
  <si>
    <t xml:space="preserve">Shibuya Stream Hotel — Standard Double</t>
  </si>
  <si>
    <t xml:space="preserve">₪3,130.24 total (~₪783/n)</t>
  </si>
  <si>
    <t xml:space="preserve">Sep 1, 2026 · 21:59 JST</t>
  </si>
  <si>
    <t xml:space="preserve">✓ Booked</t>
  </si>
  <si>
    <t xml:space="preserve">PBZ943404 (Klook)</t>
  </si>
  <si>
    <t xml:space="preserve">✓ BOOKED Jul 10 via Klook. In the Shibuya Stream complex, connected to Shibuya Station; direct Haneda limousine bus for the Sep 7 flight. Room only. Partial refund Sep 1–2 (fee ₪765.77); non-refundable after Sep 2 22:00 JST.</t>
  </si>
  <si>
    <t xml:space="preserve">Sapporo (central / Susukino)</t>
  </si>
  <si>
    <t xml:space="preserve">Wed Sep 9</t>
  </si>
  <si>
    <t xml:space="preserve">Sapporo Stream Hotel — Superior Double</t>
  </si>
  <si>
    <t xml:space="preserve">₪701.96 total (~₪351/n)</t>
  </si>
  <si>
    <t xml:space="preserve">Sep 4, 2026 · 21:59 JST</t>
  </si>
  <si>
    <t xml:space="preserve">KGG392117 (Klook)</t>
  </si>
  <si>
    <t xml:space="preserve">✓ BOOKED Jul 17 via Klook. Sapporo Stream Hotel — atop the Cocono Susukino complex (direct subway); onsen + rooftop terrace. Superior Double, 2 adults. Room only. Free cancellation to Sep 4 21:59 JST; non-refundable after.</t>
  </si>
  <si>
    <t xml:space="preserve">Onsen ryokan — Noboribetsu (Takinoya)</t>
  </si>
  <si>
    <t xml:space="preserve">Thu Sep 10</t>
  </si>
  <si>
    <t xml:space="preserve">⭐ Splurge</t>
  </si>
  <si>
    <t xml:space="preserve">Noboribetsu Onsenkyo Takinoya — Std Japanese-style room (1 room, all 4)</t>
  </si>
  <si>
    <t xml:space="preserve">₪4,827.15 total (1 room for 4, ~₪1,207 pp)</t>
  </si>
  <si>
    <t xml:space="preserve">NON-REFUNDABLE</t>
  </si>
  <si>
    <t xml:space="preserve">JFN966234 (Klook)</t>
  </si>
  <si>
    <t xml:space="preserve">✓ BOOKED Jul 11 via Klook. Luxury ryokan; 1 Japanese-style room (futons) shared by all 4. Likely half-board (kaiseki + breakfast) — verify on the voucher. ⚠ NON-REFUNDABLE → email Takinoya NOW to confirm Rachel vegetarian + Tamar vegan (kombu-only dashi, no dairy/egg).</t>
  </si>
  <si>
    <t xml:space="preserve">Kyoto (downtown / near Stn)</t>
  </si>
  <si>
    <t xml:space="preserve">Mon Sep 14</t>
  </si>
  <si>
    <t xml:space="preserve">HOTEL RINGS KYOTO — Standard Double</t>
  </si>
  <si>
    <t xml:space="preserve">₪1,524.84 total (~₪381/n)</t>
  </si>
  <si>
    <t xml:space="preserve">Sep 6, 2026 · 22:00 JST</t>
  </si>
  <si>
    <t xml:space="preserve">HZR550734 (Klook)</t>
  </si>
  <si>
    <t xml:space="preserve">✓ BOOKED Jul 10 via Klook. Design boutique in Nakagyō — walkable to Nishiki, Pontochō, Gion. Room only. Free cancellation to Sep 6 22:00 JST; non-refundable after.</t>
  </si>
  <si>
    <t xml:space="preserve">Osaka (Namba / Shinsaibashi)</t>
  </si>
  <si>
    <t xml:space="preserve">Wed Sep 16</t>
  </si>
  <si>
    <t xml:space="preserve">Hotel Royal Classic Osaka — Standard Queen</t>
  </si>
  <si>
    <t xml:space="preserve">₪968.37 total (~₪484/n)</t>
  </si>
  <si>
    <t xml:space="preserve">Sep 11, 2026 · 08:59 JST</t>
  </si>
  <si>
    <t xml:space="preserve">EEV842685 (Klook)</t>
  </si>
  <si>
    <t xml:space="preserve">✓ BOOKED Jul 10 via Klook. Kengo Kuma–designed hotel, 100m from Namba Stn — near Dōtonbori &amp; Kuromon. Room only. Free cancellation to Sep 11 08:59 JST (partial to Sep 12, fee ₪216.19); non-refundable after.</t>
  </si>
  <si>
    <t xml:space="preserve">Takayama (old-town area)</t>
  </si>
  <si>
    <t xml:space="preserve">Fri Sep 18</t>
  </si>
  <si>
    <t xml:space="preserve">Takayama Ouan (Hida Hanasato-no-Yu) — Wa Deluxe Double</t>
  </si>
  <si>
    <t xml:space="preserve">₪671.24 total (2n)</t>
  </si>
  <si>
    <t xml:space="preserve">Sep 13, 2026 · 21:59 JST</t>
  </si>
  <si>
    <t xml:space="preserve">ERB149933 (Klook)</t>
  </si>
  <si>
    <t xml:space="preserve">✓ BOOKED (rebooked to 2n) Jul 11 via Klook. Kyoritsu Resort onsen hotel, rooftop bath, ~3-min from JR Takayama Stn. Wa Deluxe Double. Room only. Free-cancel to Sep 13 21:59 JST. (Old 3n booking cancelled/refunded.)</t>
  </si>
  <si>
    <t xml:space="preserve">Alps onsen ryokan — Okuhida (Kutsuroginoya Yuu)</t>
  </si>
  <si>
    <t xml:space="preserve">Sat Sep 19</t>
  </si>
  <si>
    <t xml:space="preserve">Ryokan Kutsuroginoya Yuu — Maisonette (New Bldg), Private Open-Air Bath</t>
  </si>
  <si>
    <t xml:space="preserve">₪1,466.42 total</t>
  </si>
  <si>
    <t xml:space="preserve">Sep 11, 2026 · 21:59 JST</t>
  </si>
  <si>
    <t xml:space="preserve">GFV226893 (Klook)</t>
  </si>
  <si>
    <t xml:space="preserve">✓ BOOKED Jul 11 via Klook. Okuhida Onsen; room with PRIVATE OPEN-AIR BATH; likely kaiseki + breakfast (verify voucher). Base for a Kamikōchi day + Shinhotaka Ropeway. Free-cancel to Sep 11 21:59 JST. ⚠ Note Rachel vegetarian for the kaiseki.</t>
  </si>
  <si>
    <t xml:space="preserve">Tokyo finale (central / near transit)</t>
  </si>
  <si>
    <t xml:space="preserve">Wed Sep 23</t>
  </si>
  <si>
    <t xml:space="preserve">The Tokyo Station Hotel — City View King (non-smoking)</t>
  </si>
  <si>
    <t xml:space="preserve">₪7,808.93 total (~₪1,952/n)</t>
  </si>
  <si>
    <t xml:space="preserve">Sep 4, 2026 · 02:00 JST</t>
  </si>
  <si>
    <t xml:space="preserve">YTX109746 (Klook)</t>
  </si>
  <si>
    <t xml:space="preserve">✓ BOOKED Jul 10 via Klook. Inside Tokyo Station (Marunouchi) — step off the Shinkansen; N’EX to Narita downstairs. Room only (do the Atrium breakfast à la carte). Partial refund only Sep 4–17 (fee ₪4,717.42); non-refundable after Sep 17 22:00 JST.</t>
  </si>
  <si>
    <t xml:space="preserve">TOTAL NIGHTS</t>
  </si>
  <si>
    <t xml:space="preserve">ITINERARY — SCHEDULE A</t>
  </si>
  <si>
    <t xml:space="preserve">Corrected weekdays. ⭐ = signature moment. Detailed picks live in Restaurants / Attractions tabs.</t>
  </si>
  <si>
    <t xml:space="preserve">Highlights (Schedule A)</t>
  </si>
  <si>
    <t xml:space="preserve">Category notes</t>
  </si>
  <si>
    <t xml:space="preserve">Tokyo</t>
  </si>
  <si>
    <t xml:space="preserve">Land Narita 13:20 (El Al LY91); Skyliner/N’EX into the city, drop bags. Easy evening in Shinjuku — Omoide Yokochō &amp; Golden Gai. Don’t fight jet lag.</t>
  </si>
  <si>
    <t xml:space="preserve">Arrival / soft landing</t>
  </si>
  <si>
    <t xml:space="preserve">Sep 4</t>
  </si>
  <si>
    <t xml:space="preserve">Fri</t>
  </si>
  <si>
    <t xml:space="preserve">Sensō-ji + Nakamise (early) → Kappabashi Kitchen Town (knives/ceramics). Afternoon ⭐ teamLab Planets (Toyosu, timed). Dinner ✓ BOOKED: Udatsu Sushi omakase (Nakameguro), 20:30.</t>
  </si>
  <si>
    <t xml:space="preserve">Old Tokyo · kitchen · teamLab</t>
  </si>
  <si>
    <t xml:space="preserve">Sep 5</t>
  </si>
  <si>
    <t xml:space="preserve">Meiji Jingū + Yoyogi, coffee at Fuglen. Nezu Museum garden. Omotesandō/Cat St + Koffee Mameya. ⭐ Shibuya Sky at sunset (book). Evening ✓ BOOKED: The SG Club (Shibuya), 19:30.</t>
  </si>
  <si>
    <t xml:space="preserve">Gardens · coffee · vintage</t>
  </si>
  <si>
    <t xml:space="preserve">Sep 6</t>
  </si>
  <si>
    <t xml:space="preserve">Sun</t>
  </si>
  <si>
    <t xml:space="preserve">Flex day: Shimokitazawa (vintage) or Kiyosumi-Shirakawa (coffee district). Evening: pack, sleep near a Haneda line.</t>
  </si>
  <si>
    <t xml:space="preserve">Flex · position for flight</t>
  </si>
  <si>
    <t xml:space="preserve">ANA NH59 Haneda 10:00 → New Chitose 11:35; JR Rapid to Sapporo ~12:30, meet the group for lunch. Nijō Market or Sapporo Beer Garden. Susukino ramen / soup curry.</t>
  </si>
  <si>
    <t xml:space="preserve">Fly north · Hokkaido begins</t>
  </si>
  <si>
    <t xml:space="preserve">Sep 8</t>
  </si>
  <si>
    <t xml:space="preserve">Tue</t>
  </si>
  <si>
    <t xml:space="preserve">Otaru day trip (canal, sushi street, LeTAO). Back: Mt. Moiwa ropeway night view. Coffee at Morihico.</t>
  </si>
  <si>
    <t xml:space="preserve">Otaru · night view</t>
  </si>
  <si>
    <t xml:space="preserve">Onsen ryokan</t>
  </si>
  <si>
    <t xml:space="preserve">Check out; to Noboribetsu / Lake Tōya. Walk Jigokudani “Hell Valley.” ⭐ Onsen ryokan: private soak, yukata, kaiseki farewell with sister &amp; bf.</t>
  </si>
  <si>
    <t xml:space="preserve">⭐ Ryokan + onsen night</t>
  </si>
  <si>
    <t xml:space="preserve">Onsen breakfast; CTS→Itami→Kyoto. Ease in: Nishiki Market + Aritsugu (knives since 1560), Teramachi arcades, Pontochō dinner by the river.</t>
  </si>
  <si>
    <t xml:space="preserve">Fly south · Kyoto begins</t>
  </si>
  <si>
    <t xml:space="preserve">Sep 11</t>
  </si>
  <si>
    <t xml:space="preserve">Dawn Fushimi Inari. Kiyomizu-dera + Ninenzaka/Sannenzaka; % Arabica Higashiyama. Ginkaku-ji + Philosopher’s Path → Nanzen-ji. ⭐ Dinner ✓ BOOKED: Sōjiki Nakahigashi kaiseki, 18:00.</t>
  </si>
  <si>
    <t xml:space="preserve">Eastern Kyoto</t>
  </si>
  <si>
    <t xml:space="preserve">Sep 12</t>
  </si>
  <si>
    <t xml:space="preserve">Arashiyama early: bamboo, Tenryū-ji, Ōkōchi Sansō, monkey park, riverside % Arabica. Afternoon Kinkaku-ji and/or Ryōan-ji. Inoda or Smart Coffee. Lunch ✓ BOOKED: Hikiniku to Come (Higashiyama), 12:45 check-in.</t>
  </si>
  <si>
    <t xml:space="preserve">Arashiyama</t>
  </si>
  <si>
    <t xml:space="preserve">Sep 13</t>
  </si>
  <si>
    <t xml:space="preserve">Nara day trip: Tōdai-ji Great Buddha, the deer, Kasuga Taisha. Back for a Kiyamachi/Pontochō evening.</t>
  </si>
  <si>
    <t xml:space="preserve">Nara day trip</t>
  </si>
  <si>
    <t xml:space="preserve">Sep 14</t>
  </si>
  <si>
    <t xml:space="preserve">To Osaka. Afternoon Osaka Castle + park. Evening Dōtonbori + Kuromon Ichiba — takoyaki, okonomiyaki, kushikatsu.</t>
  </si>
  <si>
    <t xml:space="preserve">City + street food</t>
  </si>
  <si>
    <t xml:space="preserve">Sep 15</t>
  </si>
  <si>
    <t xml:space="preserve">Doguyasuji kitchenware arcade + Kuromon (AM). Amerikamura vintage, Shinsaibashi. Coffee at Takamura or Ult. Evening Shinsekai kushikatsu / Tsuruhashi yakiniku.</t>
  </si>
  <si>
    <t xml:space="preserve">Kitchen · vintage · food</t>
  </si>
  <si>
    <t xml:space="preserve">To Takayama (~4h via Nagoya; forward luggage). Afternoon Sanmachi old town — Edo streets, sake breweries, Hida-beef skewers; Higashiyama walk. Dinner ✓ BOOKED: LE MiDi (Hida-beef French), 19:00 — kitchen closes 20:30.</t>
  </si>
  <si>
    <t xml:space="preserve">Travel + old town</t>
  </si>
  <si>
    <t xml:space="preserve">Sep 17</t>
  </si>
  <si>
    <t xml:space="preserve">⭐ Shirakawa-gō — UNESCO thatched village (~50 min bus) + hillside viewpoint. Back to Takayama; markets, sake. Dinner ✓ BOOKED: Kyōya farmhouse hearth, 19:00 (AutoReserve).</t>
  </si>
  <si>
    <t xml:space="preserve">⭐ Shirakawa-gō day</t>
  </si>
  <si>
    <t xml:space="preserve">Sep 18</t>
  </si>
  <si>
    <t xml:space="preserve">Okuhida</t>
  </si>
  <si>
    <t xml:space="preserve">Check out → Kamikōchi via Hirayu (bus): ⭐ Kappabashi, Taishō Pond, Hotaka peaks. Then Okuhida onsen ryokan (Kutsuroginoya Yuu) — private open-air bath + kaiseki.</t>
  </si>
  <si>
    <t xml:space="preserve">⭐ Kamikōchi + onsen ryokan</t>
  </si>
  <si>
    <t xml:space="preserve">→ Tokyo</t>
  </si>
  <si>
    <t xml:space="preserve">Optional early Shinhotaka Ropeway, then local bus to Hirayu by ~12:35. ✓ BOOKED: bus Hirayu 12:55 → Matsumoto 14:23 (mobile ticket) → Azusa 42, Matsumoto 15:10 → Shinjuku 18:04 (car 5, seats 1-A/B; paper tickets picked up in Tokyo). Chūō rapid to Tokyo Stn on same ticket; at finale hotel ~18:40. Easy evening (Bar High Five / SG Club).</t>
  </si>
  <si>
    <t xml:space="preserve">Alps → Tokyo (via Matsumoto)</t>
  </si>
  <si>
    <t xml:space="preserve">Sep 20</t>
  </si>
  <si>
    <t xml:space="preserve">Strolling garden (Rikugien / Hamarikyū). Tsukiji Outer Market lunch. teamLab Borderless (Azabudai) or Ginza. (Best day for Kamakura if leaving the city.) Dinner ✓ BOOKED: IRORIYA (Higashi Ginza), 19:00.</t>
  </si>
  <si>
    <t xml:space="preserve">Gardens · market · art</t>
  </si>
  <si>
    <t xml:space="preserve">Sep 21</t>
  </si>
  <si>
    <t xml:space="preserve">HOLIDAY — stay in town. Kōenji / Shimokitazawa vintage, or Nakano Broadway. Coffee crawl: Glitch (Jimbōchō) → Onibus (Nakameguro).</t>
  </si>
  <si>
    <t xml:space="preserve">Vintage · neighborhoods</t>
  </si>
  <si>
    <t xml:space="preserve">Sep 22</t>
  </si>
  <si>
    <t xml:space="preserve">HOLIDAY — last full day. Shopping sweep: Kappabashi rd 2, Akihabara, Don Quijote/Loft. Or a DisneySea day. ⭐ Farewell dinner ✓ BOOKED: FARO (Ginza), 19:00.</t>
  </si>
  <si>
    <t xml:space="preserve">Shopping · farewell</t>
  </si>
  <si>
    <t xml:space="preserve">HOLIDAY — fly home (El Al LY92, Narita dep 15:35). Leave central Tokyo ~11:00 for Narita (holiday traffic). Last konbini snacks.</t>
  </si>
  <si>
    <t xml:space="preserve">Departure</t>
  </si>
  <si>
    <t xml:space="preserve">Silver Week tip: avoid Nikkō / Kamakura on Sep 21–22 (mobbed). Keep day trips for Sep 20, or do city days. Book restaurants &amp; timed-entry spots ahead.</t>
  </si>
  <si>
    <t xml:space="preserve">RESTAURANTS &amp; COFFEE</t>
  </si>
  <si>
    <t xml:space="preserve">Shortlist by city (food · coffee · vintage-friendly). Use Tabelog for reviews/booking. ⭐ items want advance reservations. ⚠ Rachel is VEGETARIAN (may try fish) — favor veg-friendly / shōjin-ryōri (Buddhist vegetarian kaiseki); confirm no bonito dashi at kaiseki &amp; sushi.</t>
  </si>
  <si>
    <t xml:space="preserve">City</t>
  </si>
  <si>
    <t xml:space="preserve">Place</t>
  </si>
  <si>
    <t xml:space="preserve">Type</t>
  </si>
  <si>
    <t xml:space="preserve">Farewell Sep 22 ✓: FARO (Ginza, Shiseido Bldg 10F) — 1★ Italian; Rachel = Vegan course, Gur = Gastronomy. (MAZ/Daigo no longer needed.) — Sep 4 dinner now ✓ Udatsu Sushi (row below); Sep 5 evening = SG Club ✓</t>
  </si>
  <si>
    <t xml:space="preserve">Dinner ⭐</t>
  </si>
  <si>
    <t xml:space="preserve">Yes</t>
  </si>
  <si>
    <t xml:space="preserve">Tue Sep 22, 19:00 · 2 ppl · TableCheck #C3SAA5 · ¥44,000 refundable deposit held (¥20k×2 + ¥4k svc) · same-day cancel = 100% · &gt;30 min late may cancel — call 03-3572-3911 · engagement message card arranged 🎉 · flag any new allergies ≥2 days ahead</t>
  </si>
  <si>
    <r>
      <rPr>
        <sz val="10"/>
        <rFont val="Arial"/>
        <family val="2"/>
        <charset val="1"/>
      </rPr>
      <t xml:space="preserve">Udatsu Sushi </t>
    </r>
    <r>
      <rPr>
        <sz val="10"/>
        <rFont val="Noto Sans CJK SC"/>
        <family val="2"/>
      </rPr>
      <t xml:space="preserve">うだつ </t>
    </r>
    <r>
      <rPr>
        <sz val="10"/>
        <rFont val="Arial"/>
        <family val="2"/>
        <charset val="1"/>
      </rPr>
      <t xml:space="preserve">(Nakameguro, 2-48-10 Kamimeguro, Meguro-ku) — creative omakase, counter</t>
    </r>
  </si>
  <si>
    <t xml:space="preserve">Fri Sep 4, 20:30 · 2 ppl · counter · Chef's selection course ¥36,300 · AutoReserve — approved Aug 13 · name: Aven Gur · ¥7,280 confirmation fee PAID (Mastercard …6051, non-refundable) · food &amp; drinks paid at restaurant · cancel ≤7d = 30% / ≤3d = 50% / ≤2d = 100% (+10% handling) · ¥79,860 card credit hold auto-releases after visit · tel 050-3550-5938</t>
  </si>
  <si>
    <t xml:space="preserve">Yakitori under the tracks — Yūrakuchō / Omoide Yokochō</t>
  </si>
  <si>
    <t xml:space="preserve">Yakitori</t>
  </si>
  <si>
    <t xml:space="preserve">Walk-in</t>
  </si>
  <si>
    <t xml:space="preserve">Sep 3–4 evenings</t>
  </si>
  <si>
    <t xml:space="preserve">Tsukiji Outer Market / Toyosu</t>
  </si>
  <si>
    <t xml:space="preserve">Sushi · seafood</t>
  </si>
  <si>
    <t xml:space="preserve">Sep 20 lunch</t>
  </si>
  <si>
    <t xml:space="preserve">Bar High Five (Ginza) · Ben Fiddich (Shinjuku)</t>
  </si>
  <si>
    <t xml:space="preserve">Cocktail bars</t>
  </si>
  <si>
    <t xml:space="preserve">Some</t>
  </si>
  <si>
    <t xml:space="preserve">World-class; small rooms</t>
  </si>
  <si>
    <t xml:space="preserve">The SG Club — "Sip" floor B1 (Shibuya, 1-7-8 Jinnan)</t>
  </si>
  <si>
    <t xml:space="preserve">Cocktail bar</t>
  </si>
  <si>
    <t xml:space="preserve">Sat Sep 5, 19:30 · 2 ppl · conf # HLCCCM (TableCheck) · seat-only, free cancellation · arrive on time (15 min late = may cancel) · 90-min limit when busy</t>
  </si>
  <si>
    <t xml:space="preserve">IRORIYA (Higashi Ginza, 3-11-11 Ginza B1F) — irori charcoal-hearth dining</t>
  </si>
  <si>
    <t xml:space="preserve">Dinner</t>
  </si>
  <si>
    <t xml:space="preserve">Sun Sep 20, 19:00 · 2 ppl · TableCheck #EUQMTC · pay at venue · 15 min late = may cancel · cancel same-day = 100% fee · changes by phone 03-3547-7901 · flag Rachel vegetarian ahead</t>
  </si>
  <si>
    <t xml:space="preserve">Coffee: Fuglen · Koffee Mameya · Glitch · Onibus · Blue Bottle (Kiyosumi) · Bear Pond</t>
  </si>
  <si>
    <t xml:space="preserve">Coffee</t>
  </si>
  <si>
    <t xml:space="preserve">Spread across days</t>
  </si>
  <si>
    <t xml:space="preserve">Nijō / Jōgai Market — kaisendon (uni, crab, ikura)</t>
  </si>
  <si>
    <t xml:space="preserve">Seafood</t>
  </si>
  <si>
    <t xml:space="preserve">Soup curry — Suage / Garaku</t>
  </si>
  <si>
    <t xml:space="preserve">Soup curry</t>
  </si>
  <si>
    <t xml:space="preserve">Hokkaido must-try</t>
  </si>
  <si>
    <t xml:space="preserve">Miso ramen — Susukino Ramen Yokochō (Sumire / Shirakaba Sansō)</t>
  </si>
  <si>
    <t xml:space="preserve">Ramen</t>
  </si>
  <si>
    <t xml:space="preserve">Sep 7 evening</t>
  </si>
  <si>
    <t xml:space="preserve">Jingisukan — Daruma / Sapporo Beer Garden</t>
  </si>
  <si>
    <t xml:space="preserve">Lamb BBQ</t>
  </si>
  <si>
    <t xml:space="preserve">Group dinner option</t>
  </si>
  <si>
    <t xml:space="preserve">Morihico</t>
  </si>
  <si>
    <t xml:space="preserve">Atmospheric roaster-café</t>
  </si>
  <si>
    <r>
      <rPr>
        <sz val="10"/>
        <rFont val="Arial"/>
        <family val="2"/>
        <charset val="1"/>
      </rPr>
      <t xml:space="preserve">Sōjiki Nakahigashi </t>
    </r>
    <r>
      <rPr>
        <sz val="10"/>
        <rFont val="Noto Sans CJK SC"/>
        <family val="2"/>
      </rPr>
      <t xml:space="preserve">草喰なかひがし </t>
    </r>
    <r>
      <rPr>
        <sz val="10"/>
        <rFont val="Arial"/>
        <family val="2"/>
        <charset val="1"/>
      </rPr>
      <t xml:space="preserve">(nr. Ginkaku-ji) — 2★, foraged-vegetable kaiseki. Replaces Roan Kikunoi plan.</t>
    </r>
  </si>
  <si>
    <t xml:space="preserve">Kaiseki ⭐</t>
  </si>
  <si>
    <t xml:space="preserve">Fri Sep 11, 18:00 · 2 ppl · PREPAID ¥31,460 via Pocket Concierge #885962 · veg note on file (broth OK) · fish dashi unavoidable · no payment at restaurant · changes after 6pm Sep 10 = call 075-752-3500 · smart casual</t>
  </si>
  <si>
    <r>
      <rPr>
        <sz val="10"/>
        <rFont val="Arial"/>
        <family val="2"/>
        <charset val="1"/>
      </rPr>
      <t xml:space="preserve">Hikiniku to Come </t>
    </r>
    <r>
      <rPr>
        <sz val="10"/>
        <rFont val="Noto Sans CJK SC"/>
        <family val="2"/>
      </rPr>
      <t xml:space="preserve">挽肉と米 </t>
    </r>
    <r>
      <rPr>
        <sz val="10"/>
        <rFont val="Arial"/>
        <family val="2"/>
        <charset val="1"/>
      </rPr>
      <t xml:space="preserve">(Higashiyama, 363 Kiyomoto-chō) — hamburg steak &amp; rice</t>
    </r>
  </si>
  <si>
    <t xml:space="preserve">Lunch</t>
  </si>
  <si>
    <t xml:space="preserve">Sat Sep 12, 12:45 · 2 ppl · PREPAID ¥5,960 (priority ticket + set meals) · TableCheck #RQAM9V — show number at door · 12:45 = check-in time, expect a wait · 10 min late = auto-cancel · non-refundable ≤7 days out · sides/drinks via ticket machine</t>
  </si>
  <si>
    <t xml:space="preserve">Yudōfu near Nanzen-ji · Pontochō riverside dining</t>
  </si>
  <si>
    <t xml:space="preserve">Traditional</t>
  </si>
  <si>
    <t xml:space="preserve">Nishiki Market (snack-through) + Aritsugu</t>
  </si>
  <si>
    <t xml:space="preserve">Market · knives</t>
  </si>
  <si>
    <t xml:space="preserve">% Arabica (Higashiyama/Arashiyama) · Weekenders · Kurasu · Inoda (1940) · Smart Coffee</t>
  </si>
  <si>
    <t xml:space="preserve">Coffee/kissaten</t>
  </si>
  <si>
    <t xml:space="preserve">Dōtonbori — takoyaki &amp; okonomiyaki</t>
  </si>
  <si>
    <t xml:space="preserve">Street food</t>
  </si>
  <si>
    <t xml:space="preserve">Kuromon Ichiba Market</t>
  </si>
  <si>
    <t xml:space="preserve">Market</t>
  </si>
  <si>
    <t xml:space="preserve">Sep 14–15 AM</t>
  </si>
  <si>
    <t xml:space="preserve">Shinsekai kushikatsu · Tsuruhashi yakiniku</t>
  </si>
  <si>
    <t xml:space="preserve">Fried / BBQ</t>
  </si>
  <si>
    <t xml:space="preserve">Sep 15 evening</t>
  </si>
  <si>
    <t xml:space="preserve">Takamura · Ult · Lilo · Mel Coffee Roasters</t>
  </si>
  <si>
    <t xml:space="preserve">⭐ Hida beef — sushi / skewers / steak</t>
  </si>
  <si>
    <t xml:space="preserve">Hida beef</t>
  </si>
  <si>
    <t xml:space="preserve">Sep 16 &amp; 18</t>
  </si>
  <si>
    <t xml:space="preserve">Restaurant LE MiDi (Honmachi 2-85) — Hida-beef French bistro</t>
  </si>
  <si>
    <t xml:space="preserve">Wed Sep 16, 19:00 · 2 ppl · table-only (no set course) · ✓ CONFIRMED Aug 16 via AutoReserve · ¥4,680 confirmation fee PAID (Mastercard …6051, non-refundable) · food &amp; drinks paid at restaurant · kitchen closes 20:30 that day — don't linger in Sanmachi · &gt;15 min late = table may be released (call 0577-36-6386) · card credit-hold for cancel fee auto-releases after visit</t>
  </si>
  <si>
    <r>
      <rPr>
        <sz val="10"/>
        <rFont val="Arial"/>
        <family val="2"/>
        <charset val="1"/>
      </rPr>
      <t xml:space="preserve">Shun An </t>
    </r>
    <r>
      <rPr>
        <sz val="10"/>
        <rFont val="Noto Sans CJK SC"/>
        <family val="2"/>
      </rPr>
      <t xml:space="preserve">旬庵 </t>
    </r>
    <r>
      <rPr>
        <sz val="10"/>
        <rFont val="Arial"/>
        <family val="2"/>
        <charset val="1"/>
      </rPr>
      <t xml:space="preserve">(Suehiro-chō 60) — creative kappō-izakaya, Hida beef + mountain vegetables</t>
    </r>
  </si>
  <si>
    <t xml:space="preserve">✗ Declined</t>
  </si>
  <si>
    <t xml:space="preserve">AutoReserve request for Thu Sep 17, 20:00 DECLINED — no tables available. ¥2,600 hold released (no charge). RESOLVED: Kyōya booked instead for Thu Sep 17, 19:00 ✓ (row below).</t>
  </si>
  <si>
    <r>
      <rPr>
        <sz val="10"/>
        <rFont val="Arial"/>
        <family val="2"/>
        <charset val="1"/>
      </rPr>
      <t xml:space="preserve">Hida Takayama Kyoya </t>
    </r>
    <r>
      <rPr>
        <sz val="10"/>
        <rFont val="Noto Sans CJK SC"/>
        <family val="2"/>
      </rPr>
      <t xml:space="preserve">京や </t>
    </r>
    <r>
      <rPr>
        <sz val="10"/>
        <rFont val="Arial"/>
        <family val="2"/>
        <charset val="1"/>
      </rPr>
      <t xml:space="preserve">(Daishinmachi 1-77) — farmhouse hearth izakaya, Hida beef + hoba-miso</t>
    </r>
  </si>
  <si>
    <t xml:space="preserve">Thu Sep 17, 19:00 · 2 ppl · AutoReserve — approved Aug 12 · name: Aven Gur · counter (non-smoking) · table-only (order à la carte on site) · ¥2,400 AutoReserve confirmation fee PAID (Mastercard …6051, non-refundable) · food &amp; drinks paid at restaurant · a cancellation-fee credit hold may show on the card, auto-released after visit · tel 0577-34-7660 · hoba-miso for Rachel</t>
  </si>
  <si>
    <t xml:space="preserve">Takayama ramen · local sake · mitarashi dango (markets)</t>
  </si>
  <si>
    <t xml:space="preserve">Local</t>
  </si>
  <si>
    <t xml:space="preserve">ATTRACTIONS &amp; TICKETS</t>
  </si>
  <si>
    <t xml:space="preserve">Top block = date-specific bookings. Lower block = per-city reference to pull from.</t>
  </si>
  <si>
    <t xml:space="preserve">TIMED / ADVANCE BOOKINGS</t>
  </si>
  <si>
    <t xml:space="preserve">Item</t>
  </si>
  <si>
    <t xml:space="preserve">When / book by</t>
  </si>
  <si>
    <t xml:space="preserve">teamLab Planets</t>
  </si>
  <si>
    <t xml:space="preserve">Sep 4 · ~1 mo ahead</t>
  </si>
  <si>
    <t xml:space="preserve">Toyosu; timed entry</t>
  </si>
  <si>
    <t xml:space="preserve">Shibuya Sky</t>
  </si>
  <si>
    <t xml:space="preserve">Sep 5 sunset · ~1 mo ahead</t>
  </si>
  <si>
    <t xml:space="preserve">Sunset slots sell out first</t>
  </si>
  <si>
    <t xml:space="preserve">teamLab Borderless</t>
  </si>
  <si>
    <t xml:space="preserve">Sep 20 (alt) · timed</t>
  </si>
  <si>
    <t xml:space="preserve">Azabudai; if you skip Planets</t>
  </si>
  <si>
    <t xml:space="preserve">Gion kaiseki dinner</t>
  </si>
  <si>
    <t xml:space="preserve">Sep 11 · 1–3 mo</t>
  </si>
  <si>
    <t xml:space="preserve">Cross-ref Restaurants</t>
  </si>
  <si>
    <t xml:space="preserve">Farewell dinner (omakase/kaiseki)</t>
  </si>
  <si>
    <t xml:space="preserve">Sep 22 · 1–3 mo</t>
  </si>
  <si>
    <t xml:space="preserve">Reserve early</t>
  </si>
  <si>
    <t xml:space="preserve">DisneySea (optional)</t>
  </si>
  <si>
    <t xml:space="preserve">Sep 22 · book ahead</t>
  </si>
  <si>
    <t xml:space="preserve">Only if chosen over shopping</t>
  </si>
  <si>
    <t xml:space="preserve">Wow night (Tokyo front) — DECIDE LATER: (a) Helicopter night flight ~¥63–140k/flight (up to 3 pax), Sep 4, pairs with teamLab/Toyosu bay evening; (b) Yakatabune dinner cruise ~¥14–24k pp, veg menu on request, Sep 6 (doubles as dinner). Both bookable on Klook.</t>
  </si>
  <si>
    <t xml:space="preserve">REFERENCE — BY CITY (pull from these)</t>
  </si>
  <si>
    <t xml:space="preserve">Category</t>
  </si>
  <si>
    <t xml:space="preserve">Picks</t>
  </si>
  <si>
    <t xml:space="preserve">Temples/gardens</t>
  </si>
  <si>
    <t xml:space="preserve">Sensō-ji · Meiji Jingū+Yoyogi · Nezu Museum garden · Rikugien · Hamarikyū · Imperial Palace E. Gardens</t>
  </si>
  <si>
    <t xml:space="preserve">Views / must-do</t>
  </si>
  <si>
    <t xml:space="preserve">teamLab (Planets/Borderless) · Shibuya Sky · Skytree</t>
  </si>
  <si>
    <t xml:space="preserve">Vintage</t>
  </si>
  <si>
    <t xml:space="preserve">Shimokitazawa · Kōenji · Ura-Harajuku/Cat St · Nakano Broadway</t>
  </si>
  <si>
    <t xml:space="preserve">Kitchen ⭐</t>
  </si>
  <si>
    <t xml:space="preserve">Kappabashi Kitchen Town (Asakusa) — Kamata Hakensha, Tsubaya</t>
  </si>
  <si>
    <t xml:space="preserve">Hokkaido</t>
  </si>
  <si>
    <t xml:space="preserve">Nature</t>
  </si>
  <si>
    <t xml:space="preserve">Ōdōri Park · Maruyama Park + shrine · Mt. Moiwa night view · Otaru · Jigokudani · Lake Tōya</t>
  </si>
  <si>
    <t xml:space="preserve">Onsen ⭐</t>
  </si>
  <si>
    <t xml:space="preserve">Noboribetsu or Lake Tōya — soak-and-kaiseki night (Sep 9)</t>
  </si>
  <si>
    <t xml:space="preserve">Fushimi Inari · Kiyomizu-dera · Arashiyama (Tenryū-ji, bamboo, Ōkōchi Sansō) · Kinkaku-ji · Ginkaku-ji + Philosopher’s Path · Ryōan-ji · Nanzen-ji</t>
  </si>
  <si>
    <t xml:space="preserve">Aritsugu (knife maker since 1560, in Nishiki Market) · Kiyomizu-yaki ceramics on Chawanzaka</t>
  </si>
  <si>
    <t xml:space="preserve">Temples/views</t>
  </si>
  <si>
    <t xml:space="preserve">Osaka Castle + park · Sumiyoshi Taisha · Shitennō-ji · Nakanoshima</t>
  </si>
  <si>
    <t xml:space="preserve">Doguyasuji Arcade (Namba) — knives, cookware, signage</t>
  </si>
  <si>
    <t xml:space="preserve">Town</t>
  </si>
  <si>
    <t xml:space="preserve">Sanmachi old town · sake breweries · Miyagawa &amp; Jinya-mae morning markets · Higashiyama walk · Hida Folk Village</t>
  </si>
  <si>
    <t xml:space="preserve">Nature ⭐</t>
  </si>
  <si>
    <t xml:space="preserve">Kamikōchi · Shirakawa-gō · Shinhotaka Ropeway · Okuhida onsen</t>
  </si>
  <si>
    <t xml:space="preserve">BUDGET TRACKER</t>
  </si>
  <si>
    <t xml:space="preserve">In Shekels (₪). ¥ converted at ₪1≈¥47.8; flights from $ at $1≈₪3.00 (Jun 28 2026). Totals auto-sum by category.</t>
  </si>
  <si>
    <t xml:space="preserve">Est. ₪ (party of 2)</t>
  </si>
  <si>
    <t xml:space="preserve">Booked?</t>
  </si>
  <si>
    <t xml:space="preserve">Intl flight — Gur (El Al, Premium)</t>
  </si>
  <si>
    <t xml:space="preserve">Flights</t>
  </si>
  <si>
    <t xml:space="preserve">PNR YFYDLE · $3,807.97 @ ₪3.00 · BOOKED</t>
  </si>
  <si>
    <t xml:space="preserve">Intl flight — Rachel (El Al)</t>
  </si>
  <si>
    <t xml:space="preserve">Haneda → New Chitose — ANA NH59 (×2)</t>
  </si>
  <si>
    <t xml:space="preserve">✓ Booked · ref FMSXWA · ~₪357 pp (confirm exact on e-ticket)</t>
  </si>
  <si>
    <t xml:space="preserve">New Chitose → Osaka Itami (×2)</t>
  </si>
  <si>
    <t xml:space="preserve">✓ Booked · ref DHYPIM · ~₪627 pp (confirm exact on e-ticket)</t>
  </si>
  <si>
    <t xml:space="preserve">Hokkaido ground (Rapid + Suzuran + bus, ×2)</t>
  </si>
  <si>
    <t xml:space="preserve">Transport</t>
  </si>
  <si>
    <t xml:space="preserve">Itami → Kyoto bus (×2)</t>
  </si>
  <si>
    <t xml:space="preserve">Osaka → Takayama (×2)</t>
  </si>
  <si>
    <t xml:space="preserve">~₪251 pp</t>
  </si>
  <si>
    <t xml:space="preserve">Takayama → Tokyo (×2)</t>
  </si>
  <si>
    <t xml:space="preserve">~₪335 pp</t>
  </si>
  <si>
    <t xml:space="preserve">Local transit / Suica top-ups</t>
  </si>
  <si>
    <t xml:space="preserve">Estimate</t>
  </si>
  <si>
    <t xml:space="preserve">Luggage forwarding (takkyūbin)</t>
  </si>
  <si>
    <t xml:space="preserve">Osaka → Tokyo</t>
  </si>
  <si>
    <t xml:space="preserve">Tokyo front hotel (4n)</t>
  </si>
  <si>
    <t xml:space="preserve">Lodging</t>
  </si>
  <si>
    <t xml:space="preserve">Mid/upscale · ✓ Shibuya Stream Hotel (Klook PBZ943404), ₪3,130.24 paid, room only</t>
  </si>
  <si>
    <t xml:space="preserve">Sapporo hotel (2n)</t>
  </si>
  <si>
    <t xml:space="preserve">Mid/upscale · ✓ Sapporo Stream Hotel (Klook KGG392117), ₪701.96 paid, room only</t>
  </si>
  <si>
    <t xml:space="preserve">Onsen ryokan (1n) ⭐</t>
  </si>
  <si>
    <t xml:space="preserve">Splurge · ✓ Takinoya (Klook JFN966234). Gur paid ₪4,827.15 for the room of 4; sister owes half → couple share ₪2,413.58. NON-REFUNDABLE. Confirm vegan/veg meals.</t>
  </si>
  <si>
    <t xml:space="preserve">Kyoto hotel (4n)</t>
  </si>
  <si>
    <t xml:space="preserve">Mid/upscale · ✓ HOTEL RINGS KYOTO (Klook HZR550734), ₪1,524.84 paid, room only</t>
  </si>
  <si>
    <t xml:space="preserve">Osaka hotel (2n)</t>
  </si>
  <si>
    <t xml:space="preserve">Mid/upscale · ✓ Hotel Royal Classic Osaka (Klook EEV842685), ₪968.37 paid, room only</t>
  </si>
  <si>
    <t xml:space="preserve">Takayama Ouan (2n) + Alps ryokan (1n)</t>
  </si>
  <si>
    <t xml:space="preserve">✓ Ouan (Klook ERB149933) ₪671.24 [2n] + Kutsuroginoya Yuu, Okuhida, private open-air bath (Klook GFV226893) ₪1,466.42 [1n]. Both free-cancel.</t>
  </si>
  <si>
    <t xml:space="preserve">Tokyo finale hotel (4n) ⭐</t>
  </si>
  <si>
    <t xml:space="preserve">Splurge · Silver Week · ✓ The Tokyo Station Hotel — City View King, room only · Klook YTX109746 · ₪7,808.93 paid (prepaid)</t>
  </si>
  <si>
    <t xml:space="preserve">teamLab + Shibuya Sky (×2)</t>
  </si>
  <si>
    <t xml:space="preserve">Attractions</t>
  </si>
  <si>
    <t xml:space="preserve">Rough</t>
  </si>
  <si>
    <t xml:space="preserve">Kaiseki / omakase dinners</t>
  </si>
  <si>
    <t xml:space="preserve">Food</t>
  </si>
  <si>
    <t xml:space="preserve">2 special dinners est.</t>
  </si>
  <si>
    <t xml:space="preserve">eSIM / data (×2)</t>
  </si>
  <si>
    <t xml:space="preserve">Misc</t>
  </si>
  <si>
    <t xml:space="preserve">SUBTOTALS BY CATEGORY</t>
  </si>
  <si>
    <t xml:space="preserve">GRAND TOTAL (₪, party of 2)</t>
  </si>
  <si>
    <t xml:space="preserve">Blank ₪ cells (lodging, Rachel’s flight) are excluded until you enter figures. Japan costs are estimates, not quotes; flights are actuals.</t>
  </si>
  <si>
    <t xml:space="preserve">APPS, LINKS &amp; TIPS</t>
  </si>
  <si>
    <t xml:space="preserve">Set these up before you fly.</t>
  </si>
  <si>
    <t xml:space="preserve">APPS &amp; SERVICES</t>
  </si>
  <si>
    <t xml:space="preserve">Tool / tip</t>
  </si>
  <si>
    <t xml:space="preserve">What it’s for</t>
  </si>
  <si>
    <t xml:space="preserve">Pre-register immigration + customs QR before landing — skip airport queues</t>
  </si>
  <si>
    <t xml:space="preserve">Mobile Suica (Apple Wallet)</t>
  </si>
  <si>
    <t xml:space="preserve">Tap-to-ride IC card on iPhone; top up with a credit card. Welcome Suica Mobile for tourists (iPhone only)</t>
  </si>
  <si>
    <t xml:space="preserve">Smart-EX / Eki-net</t>
  </si>
  <si>
    <t xml:space="preserve">Reserve shinkansen + Hida limited-express seats online (opens 1 month out, 10:00 JST)</t>
  </si>
  <si>
    <t xml:space="preserve">Tabelog</t>
  </si>
  <si>
    <t xml:space="preserve">Japan’s restaurant review app — more reliable than Google Maps for food</t>
  </si>
  <si>
    <t xml:space="preserve">Yamato Transport (takkyūbin)</t>
  </si>
  <si>
    <t xml:space="preserve">Luggage forwarding between hotels — look for the yellow/green “TA-Q-BIN” counters; send by ~16:00</t>
  </si>
  <si>
    <t xml:space="preserve">Japan Travel by NAVITIME</t>
  </si>
  <si>
    <t xml:space="preserve">Transit routing + timetables in English</t>
  </si>
  <si>
    <t xml:space="preserve">Papago / Google Translate</t>
  </si>
  <si>
    <t xml:space="preserve">Translation (camera mode for menus &amp; signs)</t>
  </si>
  <si>
    <t xml:space="preserve">eSIM (Ubigi / Airalo)</t>
  </si>
  <si>
    <t xml:space="preserve">Data without a physical SIM; or rent pocket wifi</t>
  </si>
  <si>
    <t xml:space="preserve">Japan Wi-Fi auto-connect</t>
  </si>
  <si>
    <t xml:space="preserve">Connects to free public hotspots</t>
  </si>
  <si>
    <t xml:space="preserve">GOOD TO KNOW</t>
  </si>
  <si>
    <t xml:space="preserve">Trains</t>
  </si>
  <si>
    <t xml:space="preserve">Tokyo trains mostly run until ~midnight. Rush hours 7–9 AM &amp; 5–7 PM — avoid with luggage</t>
  </si>
  <si>
    <t xml:space="preserve">Etiquette</t>
  </si>
  <si>
    <t xml:space="preserve">No tipping. Don’t eat while walking. Keep voices low on trains</t>
  </si>
  <si>
    <t xml:space="preserve">Cash</t>
  </si>
  <si>
    <t xml:space="preserve">Cards widely accepted, but carry some cash — a few places are cash-only</t>
  </si>
  <si>
    <t xml:space="preserve">Tax-free</t>
  </si>
  <si>
    <t xml:space="preserve">Carry your passport for tax-free shopping (refund at the register)</t>
  </si>
  <si>
    <t xml:space="preserve">Restrooms</t>
  </si>
  <si>
    <t xml:space="preserve">Carry tissues + hand sanitizer; few public bins, so keep a small trash bag</t>
  </si>
  <si>
    <t xml:space="preserve">Layers</t>
  </si>
  <si>
    <t xml:space="preserve">Mid-Sept is warm in the cities but cool in Kamikōchi/Shirakawa-gō — bring a light jacket</t>
  </si>
  <si>
    <t xml:space="preserve">PACKING</t>
  </si>
  <si>
    <t xml:space="preserve">Adapted to a Sep trip with an Alps day. Tick as you go.</t>
  </si>
  <si>
    <t xml:space="preserve">DOCUMENTS</t>
  </si>
  <si>
    <t xml:space="preserve">Qty</t>
  </si>
  <si>
    <t xml:space="preserve">Packed?</t>
  </si>
  <si>
    <t xml:space="preserve">Passports</t>
  </si>
  <si>
    <t xml:space="preserve">2</t>
  </si>
  <si>
    <t xml:space="preserve">Flight tickets / boarding passes</t>
  </si>
  <si>
    <t xml:space="preserve">Travel insurance</t>
  </si>
  <si>
    <t xml:space="preserve">Visit Japan Web QR</t>
  </si>
  <si>
    <t xml:space="preserve">Credit cards + some cash (¥)</t>
  </si>
  <si>
    <t xml:space="preserve">Hotel/ryokan confirmations</t>
  </si>
  <si>
    <t xml:space="preserve">CLOTHING</t>
  </si>
  <si>
    <t xml:space="preserve">T-shirts / tops</t>
  </si>
  <si>
    <t xml:space="preserve">~12</t>
  </si>
  <si>
    <t xml:space="preserve">Long-sleeve / layers</t>
  </si>
  <si>
    <t xml:space="preserve">4</t>
  </si>
  <si>
    <t xml:space="preserve">Pants / jeans</t>
  </si>
  <si>
    <t xml:space="preserve">Light jacket (for the Alps)</t>
  </si>
  <si>
    <t xml:space="preserve">1</t>
  </si>
  <si>
    <t xml:space="preserve">Sweater / fleece</t>
  </si>
  <si>
    <t xml:space="preserve">Comfortable walking shoes</t>
  </si>
  <si>
    <t xml:space="preserve">Socks</t>
  </si>
  <si>
    <t xml:space="preserve">10</t>
  </si>
  <si>
    <t xml:space="preserve">Underwear</t>
  </si>
  <si>
    <t xml:space="preserve">~18</t>
  </si>
  <si>
    <t xml:space="preserve">Sleepwear</t>
  </si>
  <si>
    <t xml:space="preserve">Compact umbrella</t>
  </si>
  <si>
    <t xml:space="preserve">TOILETRIES</t>
  </si>
  <si>
    <t xml:space="preserve">Toothbrush + paste</t>
  </si>
  <si>
    <t xml:space="preserve">Skincare / sunscreen</t>
  </si>
  <si>
    <t xml:space="preserve">Deodorant</t>
  </si>
  <si>
    <t xml:space="preserve">Razor</t>
  </si>
  <si>
    <t xml:space="preserve">Meds: painkillers, cold, plasters</t>
  </si>
  <si>
    <t xml:space="preserve">Any prescriptions</t>
  </si>
  <si>
    <t xml:space="preserve">ELECTRONICS</t>
  </si>
  <si>
    <t xml:space="preserve">Phone + charger</t>
  </si>
  <si>
    <t xml:space="preserve">Power bank</t>
  </si>
  <si>
    <t xml:space="preserve">Type-A plug adapter</t>
  </si>
  <si>
    <t xml:space="preserve">Earbuds</t>
  </si>
  <si>
    <t xml:space="preserve">Camera + spare batteries</t>
  </si>
  <si>
    <t xml:space="preserve">MISC</t>
  </si>
  <si>
    <t xml:space="preserve">Small daypack</t>
  </si>
  <si>
    <t xml:space="preserve">Foldable tote (for shopping)</t>
  </si>
  <si>
    <t xml:space="preserve">Reusable bag for trash</t>
  </si>
  <si>
    <t xml:space="preserve">Eye mask + neck pillow (flight)</t>
  </si>
  <si>
    <t xml:space="preserve">Pen (immigration form)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</si>
</sst>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9"/>
      <color rgb="FF595959"/>
      <name val="Arial"/>
      <family val="2"/>
      <charset val="1"/>
    </font>
    <font>
      <sz val="1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1F6F6B"/>
        <bgColor rgb="FF0E6E8C"/>
      </patternFill>
    </fill>
    <fill>
      <patternFill patternType="solid">
        <fgColor rgb="FF2F5496"/>
        <bgColor rgb="FF1F6F6B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E6E8C"/>
      <rgbColor rgb="FFC0C0C0"/>
      <rgbColor rgb="FF8E7B4C"/>
      <rgbColor rgb="FF9999FF"/>
      <rgbColor rgb="FF595959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F6F6B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7B5EA7"/>
      <rgbColor rgb="FF5B6770"/>
      <rgbColor rgb="FF1F3864"/>
      <rgbColor rgb="FF2E7D32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4"/>
    <col collapsed="false" customWidth="true" hidden="false" outlineLevel="0" max="4" min="4" style="1" width="52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8" hidden="false" customHeight="true" outlineLevel="0" collapsed="false">
      <c r="A4" s="4" t="s">
        <v>2</v>
      </c>
      <c r="B4" s="4"/>
      <c r="C4" s="4"/>
      <c r="D4" s="4"/>
    </row>
    <row r="5" customFormat="false" ht="23.25" hidden="false" customHeight="true" outlineLevel="0" collapsed="false">
      <c r="A5" s="5" t="s">
        <v>3</v>
      </c>
      <c r="B5" s="5" t="s">
        <v>4</v>
      </c>
      <c r="C5" s="5"/>
      <c r="D5" s="5" t="s">
        <v>5</v>
      </c>
    </row>
    <row r="6" customFormat="false" ht="15" hidden="false" customHeight="true" outlineLevel="0" collapsed="false">
      <c r="A6" s="5" t="s">
        <v>6</v>
      </c>
      <c r="B6" s="5" t="s">
        <v>7</v>
      </c>
      <c r="C6" s="5"/>
      <c r="D6" s="5" t="s">
        <v>8</v>
      </c>
    </row>
    <row r="7" customFormat="false" ht="23.25" hidden="false" customHeight="true" outlineLevel="0" collapsed="false">
      <c r="A7" s="5" t="s">
        <v>9</v>
      </c>
      <c r="B7" s="5" t="s">
        <v>10</v>
      </c>
      <c r="C7" s="5"/>
      <c r="D7" s="5" t="s">
        <v>11</v>
      </c>
    </row>
    <row r="8" customFormat="false" ht="23.25" hidden="false" customHeight="true" outlineLevel="0" collapsed="false">
      <c r="A8" s="5" t="s">
        <v>12</v>
      </c>
      <c r="B8" s="5" t="s">
        <v>13</v>
      </c>
      <c r="C8" s="5"/>
      <c r="D8" s="5" t="s">
        <v>14</v>
      </c>
    </row>
    <row r="9" customFormat="false" ht="23.25" hidden="false" customHeight="true" outlineLevel="0" collapsed="false">
      <c r="A9" s="5" t="s">
        <v>15</v>
      </c>
      <c r="B9" s="5" t="s">
        <v>16</v>
      </c>
      <c r="C9" s="5"/>
      <c r="D9" s="5" t="s">
        <v>17</v>
      </c>
    </row>
    <row r="10" customFormat="false" ht="34.5" hidden="false" customHeight="true" outlineLevel="0" collapsed="false">
      <c r="A10" s="5" t="s">
        <v>18</v>
      </c>
      <c r="B10" s="5" t="s">
        <v>19</v>
      </c>
      <c r="C10" s="5"/>
      <c r="D10" s="5" t="s">
        <v>20</v>
      </c>
    </row>
    <row r="11" customFormat="false" ht="23.25" hidden="false" customHeight="true" outlineLevel="0" collapsed="false">
      <c r="A11" s="5" t="s">
        <v>21</v>
      </c>
      <c r="B11" s="5" t="s">
        <v>22</v>
      </c>
      <c r="C11" s="5"/>
      <c r="D11" s="5" t="s">
        <v>23</v>
      </c>
    </row>
    <row r="12" customFormat="false" ht="15" hidden="false" customHeight="true" outlineLevel="0" collapsed="false">
      <c r="A12" s="5" t="s">
        <v>24</v>
      </c>
      <c r="B12" s="5" t="s">
        <v>25</v>
      </c>
      <c r="C12" s="5"/>
      <c r="D12" s="5" t="s">
        <v>26</v>
      </c>
    </row>
    <row r="14" customFormat="false" ht="18" hidden="false" customHeight="true" outlineLevel="0" collapsed="false">
      <c r="A14" s="4" t="s">
        <v>27</v>
      </c>
      <c r="B14" s="4"/>
      <c r="C14" s="4"/>
      <c r="D14" s="4"/>
    </row>
    <row r="15" customFormat="false" ht="15" hidden="false" customHeight="true" outlineLevel="0" collapsed="false">
      <c r="A15" s="6" t="s">
        <v>28</v>
      </c>
      <c r="B15" s="6" t="s">
        <v>3</v>
      </c>
      <c r="C15" s="6" t="s">
        <v>29</v>
      </c>
      <c r="D15" s="6" t="s">
        <v>30</v>
      </c>
    </row>
    <row r="16" customFormat="false" ht="15" hidden="false" customHeight="true" outlineLevel="0" collapsed="false">
      <c r="A16" s="5" t="s">
        <v>31</v>
      </c>
      <c r="B16" s="5" t="s">
        <v>32</v>
      </c>
      <c r="C16" s="5" t="n">
        <v>4</v>
      </c>
      <c r="D16" s="5" t="s">
        <v>33</v>
      </c>
    </row>
    <row r="17" customFormat="false" ht="15" hidden="false" customHeight="true" outlineLevel="0" collapsed="false">
      <c r="A17" s="5" t="s">
        <v>34</v>
      </c>
      <c r="B17" s="5" t="s">
        <v>35</v>
      </c>
      <c r="C17" s="5" t="n">
        <v>2</v>
      </c>
      <c r="D17" s="5" t="s">
        <v>36</v>
      </c>
    </row>
    <row r="18" customFormat="false" ht="23.25" hidden="false" customHeight="true" outlineLevel="0" collapsed="false">
      <c r="A18" s="7" t="s">
        <v>37</v>
      </c>
      <c r="B18" s="7" t="s">
        <v>38</v>
      </c>
      <c r="C18" s="7" t="n">
        <v>1</v>
      </c>
      <c r="D18" s="7" t="s">
        <v>39</v>
      </c>
    </row>
    <row r="19" customFormat="false" ht="15" hidden="false" customHeight="true" outlineLevel="0" collapsed="false">
      <c r="A19" s="5" t="s">
        <v>40</v>
      </c>
      <c r="B19" s="5" t="s">
        <v>41</v>
      </c>
      <c r="C19" s="5" t="n">
        <v>4</v>
      </c>
      <c r="D19" s="5" t="s">
        <v>42</v>
      </c>
    </row>
    <row r="20" customFormat="false" ht="23.25" hidden="false" customHeight="true" outlineLevel="0" collapsed="false">
      <c r="A20" s="5" t="s">
        <v>43</v>
      </c>
      <c r="B20" s="5" t="s">
        <v>44</v>
      </c>
      <c r="C20" s="5" t="n">
        <v>2</v>
      </c>
      <c r="D20" s="5" t="s">
        <v>45</v>
      </c>
    </row>
    <row r="21" customFormat="false" ht="15" hidden="false" customHeight="true" outlineLevel="0" collapsed="false">
      <c r="A21" s="5" t="s">
        <v>46</v>
      </c>
      <c r="B21" s="5" t="s">
        <v>47</v>
      </c>
      <c r="C21" s="5" t="n">
        <v>3</v>
      </c>
      <c r="D21" s="5" t="s">
        <v>48</v>
      </c>
    </row>
    <row r="22" customFormat="false" ht="15" hidden="false" customHeight="true" outlineLevel="0" collapsed="false">
      <c r="A22" s="7" t="s">
        <v>49</v>
      </c>
      <c r="B22" s="7" t="s">
        <v>50</v>
      </c>
      <c r="C22" s="7" t="n">
        <v>4</v>
      </c>
      <c r="D22" s="7" t="s">
        <v>51</v>
      </c>
    </row>
    <row r="23" customFormat="false" ht="15" hidden="false" customHeight="true" outlineLevel="0" collapsed="false">
      <c r="A23" s="8" t="s">
        <v>52</v>
      </c>
      <c r="B23" s="9"/>
      <c r="C23" s="8" t="n">
        <f aca="false">SUM(C16:C22)</f>
        <v>20</v>
      </c>
      <c r="D23" s="9"/>
    </row>
    <row r="25" customFormat="false" ht="18" hidden="false" customHeight="true" outlineLevel="0" collapsed="false">
      <c r="A25" s="4" t="s">
        <v>53</v>
      </c>
      <c r="B25" s="4"/>
      <c r="C25" s="4"/>
      <c r="D25" s="4"/>
    </row>
    <row r="26" customFormat="false" ht="15" hidden="false" customHeight="true" outlineLevel="0" collapsed="false">
      <c r="A26" s="10" t="s">
        <v>54</v>
      </c>
      <c r="B26" s="10"/>
      <c r="C26" s="10"/>
      <c r="D26" s="10"/>
    </row>
    <row r="27" customFormat="false" ht="15" hidden="false" customHeight="true" outlineLevel="0" collapsed="false">
      <c r="A27" s="10" t="s">
        <v>55</v>
      </c>
      <c r="B27" s="10"/>
      <c r="C27" s="10"/>
      <c r="D27" s="10"/>
    </row>
    <row r="28" customFormat="false" ht="15" hidden="false" customHeight="true" outlineLevel="0" collapsed="false">
      <c r="A28" s="10" t="s">
        <v>56</v>
      </c>
      <c r="B28" s="10"/>
      <c r="C28" s="10"/>
      <c r="D28" s="10"/>
    </row>
    <row r="29" customFormat="false" ht="15" hidden="false" customHeight="true" outlineLevel="0" collapsed="false">
      <c r="A29" s="10" t="s">
        <v>57</v>
      </c>
      <c r="B29" s="10"/>
      <c r="C29" s="10"/>
      <c r="D29" s="10"/>
    </row>
    <row r="30" customFormat="false" ht="15" hidden="false" customHeight="true" outlineLevel="0" collapsed="false">
      <c r="A30" s="10" t="s">
        <v>58</v>
      </c>
      <c r="B30" s="10"/>
      <c r="C30" s="10"/>
      <c r="D30" s="10"/>
    </row>
    <row r="31" customFormat="false" ht="15" hidden="false" customHeight="true" outlineLevel="0" collapsed="false">
      <c r="A31" s="10" t="s">
        <v>59</v>
      </c>
      <c r="B31" s="10"/>
      <c r="C31" s="10"/>
      <c r="D31" s="10"/>
    </row>
    <row r="32" customFormat="false" ht="15" hidden="false" customHeight="true" outlineLevel="0" collapsed="false">
      <c r="A32" s="10" t="s">
        <v>60</v>
      </c>
      <c r="B32" s="10"/>
      <c r="C32" s="10"/>
      <c r="D32" s="10"/>
    </row>
    <row r="33" customFormat="false" ht="15" hidden="false" customHeight="true" outlineLevel="0" collapsed="false">
      <c r="A33" s="10" t="s">
        <v>61</v>
      </c>
      <c r="B33" s="10"/>
      <c r="C33" s="10"/>
      <c r="D33" s="10"/>
    </row>
    <row r="35" customFormat="false" ht="45.75" hidden="false" customHeight="true" outlineLevel="0" collapsed="false">
      <c r="A35" s="11" t="s">
        <v>62</v>
      </c>
      <c r="B35" s="11"/>
      <c r="C35" s="11"/>
      <c r="D35" s="11"/>
    </row>
  </sheetData>
  <mergeCells count="14">
    <mergeCell ref="A1:D1"/>
    <mergeCell ref="A2:D2"/>
    <mergeCell ref="A4:D4"/>
    <mergeCell ref="A14:D1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24" hidden="false" customHeight="true" outlineLevel="0" collapsed="false">
      <c r="A1" s="2" t="s">
        <v>63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64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" t="s">
        <v>65</v>
      </c>
      <c r="B4" s="6" t="s">
        <v>66</v>
      </c>
      <c r="C4" s="6" t="s">
        <v>67</v>
      </c>
      <c r="D4" s="6" t="s">
        <v>68</v>
      </c>
      <c r="E4" s="6" t="s">
        <v>69</v>
      </c>
      <c r="F4" s="6" t="s">
        <v>70</v>
      </c>
      <c r="G4" s="6" t="s">
        <v>30</v>
      </c>
    </row>
    <row r="5" customFormat="false" ht="15" hidden="false" customHeight="true" outlineLevel="0" collapsed="false">
      <c r="A5" s="12" t="s">
        <v>71</v>
      </c>
      <c r="B5" s="13" t="s">
        <v>72</v>
      </c>
      <c r="C5" s="13" t="s">
        <v>73</v>
      </c>
      <c r="D5" s="14" t="s">
        <v>74</v>
      </c>
      <c r="E5" s="14" t="s">
        <v>75</v>
      </c>
      <c r="F5" s="13" t="s">
        <v>76</v>
      </c>
      <c r="G5" s="13" t="s">
        <v>77</v>
      </c>
    </row>
    <row r="6" customFormat="false" ht="15" hidden="false" customHeight="true" outlineLevel="0" collapsed="false">
      <c r="A6" s="12" t="s">
        <v>71</v>
      </c>
      <c r="B6" s="13" t="s">
        <v>78</v>
      </c>
      <c r="C6" s="13" t="s">
        <v>79</v>
      </c>
      <c r="D6" s="14" t="s">
        <v>80</v>
      </c>
      <c r="E6" s="14" t="s">
        <v>75</v>
      </c>
      <c r="F6" s="13" t="s">
        <v>81</v>
      </c>
      <c r="G6" s="13" t="s">
        <v>82</v>
      </c>
    </row>
    <row r="7" customFormat="false" ht="23.25" hidden="false" customHeight="true" outlineLevel="0" collapsed="false">
      <c r="A7" s="12" t="s">
        <v>71</v>
      </c>
      <c r="B7" s="13" t="s">
        <v>83</v>
      </c>
      <c r="C7" s="13" t="s">
        <v>84</v>
      </c>
      <c r="D7" s="14" t="s">
        <v>85</v>
      </c>
      <c r="E7" s="14" t="s">
        <v>75</v>
      </c>
      <c r="F7" s="13" t="s">
        <v>86</v>
      </c>
      <c r="G7" s="13" t="s">
        <v>87</v>
      </c>
    </row>
    <row r="8" customFormat="false" ht="23.25" hidden="false" customHeight="true" outlineLevel="0" collapsed="false">
      <c r="A8" s="15" t="s">
        <v>88</v>
      </c>
      <c r="B8" s="14" t="s">
        <v>89</v>
      </c>
      <c r="C8" s="14" t="s">
        <v>90</v>
      </c>
      <c r="D8" s="14" t="s">
        <v>91</v>
      </c>
      <c r="E8" s="14" t="s">
        <v>75</v>
      </c>
      <c r="F8" s="14"/>
      <c r="G8" s="14"/>
    </row>
    <row r="9" customFormat="false" ht="23.25" hidden="false" customHeight="true" outlineLevel="0" collapsed="false">
      <c r="A9" s="16" t="s">
        <v>88</v>
      </c>
      <c r="B9" s="5" t="s">
        <v>92</v>
      </c>
      <c r="C9" s="5" t="s">
        <v>93</v>
      </c>
      <c r="D9" s="5" t="s">
        <v>94</v>
      </c>
      <c r="E9" s="5" t="s">
        <v>75</v>
      </c>
      <c r="F9" s="5" t="s">
        <v>95</v>
      </c>
      <c r="G9" s="5"/>
    </row>
    <row r="10" customFormat="false" ht="23.25" hidden="false" customHeight="true" outlineLevel="0" collapsed="false">
      <c r="A10" s="17" t="s">
        <v>88</v>
      </c>
      <c r="B10" s="18" t="s">
        <v>96</v>
      </c>
      <c r="C10" s="18" t="s">
        <v>97</v>
      </c>
      <c r="D10" s="18" t="s">
        <v>98</v>
      </c>
      <c r="E10" s="18" t="s">
        <v>99</v>
      </c>
      <c r="F10" s="18"/>
      <c r="G10" s="18"/>
    </row>
    <row r="11" customFormat="false" ht="15" hidden="false" customHeight="true" outlineLevel="0" collapsed="false">
      <c r="A11" s="16" t="s">
        <v>88</v>
      </c>
      <c r="B11" s="5" t="s">
        <v>100</v>
      </c>
      <c r="C11" s="5" t="s">
        <v>101</v>
      </c>
      <c r="D11" s="5" t="s">
        <v>98</v>
      </c>
      <c r="E11" s="5" t="s">
        <v>99</v>
      </c>
      <c r="F11" s="5"/>
      <c r="G11" s="5"/>
    </row>
    <row r="12" customFormat="false" ht="23.25" hidden="false" customHeight="true" outlineLevel="0" collapsed="false">
      <c r="A12" s="17" t="s">
        <v>88</v>
      </c>
      <c r="B12" s="18" t="s">
        <v>102</v>
      </c>
      <c r="C12" s="18" t="s">
        <v>103</v>
      </c>
      <c r="D12" s="18" t="s">
        <v>104</v>
      </c>
      <c r="E12" s="18" t="s">
        <v>75</v>
      </c>
      <c r="F12" s="18"/>
      <c r="G12" s="18" t="s">
        <v>105</v>
      </c>
    </row>
    <row r="13" customFormat="false" ht="23.25" hidden="false" customHeight="true" outlineLevel="0" collapsed="false">
      <c r="A13" s="16" t="s">
        <v>106</v>
      </c>
      <c r="B13" s="5" t="s">
        <v>107</v>
      </c>
      <c r="C13" s="5" t="s">
        <v>108</v>
      </c>
      <c r="D13" s="5" t="s">
        <v>109</v>
      </c>
      <c r="E13" s="5" t="s">
        <v>75</v>
      </c>
      <c r="F13" s="5"/>
      <c r="G13" s="5" t="s">
        <v>110</v>
      </c>
    </row>
    <row r="14" customFormat="false" ht="15" hidden="false" customHeight="true" outlineLevel="0" collapsed="false">
      <c r="A14" s="17" t="s">
        <v>106</v>
      </c>
      <c r="B14" s="18" t="s">
        <v>111</v>
      </c>
      <c r="C14" s="18" t="s">
        <v>112</v>
      </c>
      <c r="D14" s="14" t="s">
        <v>113</v>
      </c>
      <c r="E14" s="14" t="s">
        <v>75</v>
      </c>
      <c r="F14" s="13" t="s">
        <v>114</v>
      </c>
      <c r="G14" s="13" t="s">
        <v>115</v>
      </c>
    </row>
    <row r="15" customFormat="false" ht="15" hidden="false" customHeight="true" outlineLevel="0" collapsed="false">
      <c r="A15" s="16" t="s">
        <v>106</v>
      </c>
      <c r="B15" s="5" t="s">
        <v>116</v>
      </c>
      <c r="C15" s="5" t="s">
        <v>117</v>
      </c>
      <c r="D15" s="5" t="s">
        <v>118</v>
      </c>
      <c r="E15" s="5" t="s">
        <v>99</v>
      </c>
      <c r="F15" s="5"/>
      <c r="G15" s="5"/>
    </row>
    <row r="16" customFormat="false" ht="15" hidden="false" customHeight="true" outlineLevel="0" collapsed="false">
      <c r="A16" s="17" t="s">
        <v>106</v>
      </c>
      <c r="B16" s="18" t="s">
        <v>119</v>
      </c>
      <c r="C16" s="18" t="s">
        <v>120</v>
      </c>
      <c r="D16" s="18" t="s">
        <v>121</v>
      </c>
      <c r="E16" s="18" t="s">
        <v>99</v>
      </c>
      <c r="F16" s="18"/>
      <c r="G16" s="18"/>
    </row>
    <row r="17" customFormat="false" ht="15" hidden="false" customHeight="true" outlineLevel="0" collapsed="false">
      <c r="A17" s="16" t="s">
        <v>106</v>
      </c>
      <c r="B17" s="5" t="s">
        <v>122</v>
      </c>
      <c r="C17" s="5" t="s">
        <v>123</v>
      </c>
      <c r="D17" s="5" t="s">
        <v>124</v>
      </c>
      <c r="E17" s="5" t="s">
        <v>99</v>
      </c>
      <c r="F17" s="5"/>
      <c r="G17" s="5"/>
    </row>
    <row r="18" customFormat="false" ht="15" hidden="false" customHeight="true" outlineLevel="0" collapsed="false">
      <c r="A18" s="17" t="s">
        <v>125</v>
      </c>
      <c r="B18" s="18" t="s">
        <v>126</v>
      </c>
      <c r="C18" s="18" t="s">
        <v>127</v>
      </c>
      <c r="D18" s="18" t="s">
        <v>128</v>
      </c>
      <c r="E18" s="18" t="s">
        <v>99</v>
      </c>
      <c r="F18" s="18"/>
      <c r="G18" s="18"/>
    </row>
    <row r="19" customFormat="false" ht="15" hidden="false" customHeight="true" outlineLevel="0" collapsed="false">
      <c r="A19" s="16" t="s">
        <v>125</v>
      </c>
      <c r="B19" s="5" t="s">
        <v>129</v>
      </c>
      <c r="C19" s="5" t="s">
        <v>130</v>
      </c>
      <c r="D19" s="5" t="s">
        <v>128</v>
      </c>
      <c r="E19" s="5" t="s">
        <v>99</v>
      </c>
      <c r="F19" s="5"/>
      <c r="G19" s="5"/>
    </row>
    <row r="20" customFormat="false" ht="15" hidden="false" customHeight="true" outlineLevel="0" collapsed="false">
      <c r="A20" s="17" t="s">
        <v>125</v>
      </c>
      <c r="B20" s="18" t="s">
        <v>131</v>
      </c>
      <c r="C20" s="18" t="s">
        <v>132</v>
      </c>
      <c r="D20" s="18" t="s">
        <v>133</v>
      </c>
      <c r="E20" s="18" t="s">
        <v>99</v>
      </c>
      <c r="F20" s="18"/>
      <c r="G20" s="18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E5:E20" type="list">
      <formula1>"To do,In progress,Booked,Paid,N/A"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4" min="3" style="1" width="30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46"/>
  </cols>
  <sheetData>
    <row r="1" customFormat="false" ht="24" hidden="false" customHeight="true" outlineLevel="0" collapsed="false">
      <c r="A1" s="2" t="s">
        <v>134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135</v>
      </c>
      <c r="B2" s="3"/>
      <c r="C2" s="3"/>
      <c r="D2" s="3"/>
      <c r="E2" s="3"/>
      <c r="F2" s="3"/>
      <c r="G2" s="3"/>
      <c r="H2" s="3"/>
      <c r="I2" s="3"/>
    </row>
    <row r="4" customFormat="false" ht="18" hidden="false" customHeight="true" outlineLevel="0" collapsed="false">
      <c r="A4" s="4" t="s">
        <v>136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A5" s="6" t="s">
        <v>137</v>
      </c>
      <c r="B5" s="6" t="s">
        <v>138</v>
      </c>
      <c r="C5" s="6" t="s">
        <v>139</v>
      </c>
      <c r="D5" s="6" t="s">
        <v>140</v>
      </c>
      <c r="E5" s="6" t="s">
        <v>141</v>
      </c>
      <c r="F5" s="6" t="s">
        <v>142</v>
      </c>
      <c r="G5" s="6" t="s">
        <v>143</v>
      </c>
      <c r="H5" s="6" t="s">
        <v>69</v>
      </c>
      <c r="I5" s="6" t="s">
        <v>30</v>
      </c>
    </row>
    <row r="6" customFormat="false" ht="23.25" hidden="false" customHeight="true" outlineLevel="0" collapsed="false">
      <c r="A6" s="19" t="s">
        <v>144</v>
      </c>
      <c r="B6" s="19" t="s">
        <v>145</v>
      </c>
      <c r="C6" s="19" t="s">
        <v>146</v>
      </c>
      <c r="D6" s="19" t="s">
        <v>147</v>
      </c>
      <c r="E6" s="19" t="s">
        <v>148</v>
      </c>
      <c r="F6" s="19" t="s">
        <v>149</v>
      </c>
      <c r="G6" s="19" t="s">
        <v>150</v>
      </c>
      <c r="H6" s="19" t="s">
        <v>75</v>
      </c>
      <c r="I6" s="19" t="s">
        <v>151</v>
      </c>
    </row>
    <row r="7" customFormat="false" ht="34.5" hidden="false" customHeight="true" outlineLevel="0" collapsed="false">
      <c r="A7" s="19" t="s">
        <v>152</v>
      </c>
      <c r="B7" s="19" t="s">
        <v>153</v>
      </c>
      <c r="C7" s="19" t="s">
        <v>154</v>
      </c>
      <c r="D7" s="19" t="s">
        <v>155</v>
      </c>
      <c r="E7" s="19" t="s">
        <v>156</v>
      </c>
      <c r="F7" s="19" t="s">
        <v>157</v>
      </c>
      <c r="G7" s="19" t="s">
        <v>150</v>
      </c>
      <c r="H7" s="19" t="s">
        <v>75</v>
      </c>
      <c r="I7" s="19" t="s">
        <v>158</v>
      </c>
    </row>
    <row r="8" customFormat="false" ht="23.25" hidden="false" customHeight="true" outlineLevel="0" collapsed="false">
      <c r="A8" s="5" t="s">
        <v>159</v>
      </c>
      <c r="B8" s="5" t="s">
        <v>160</v>
      </c>
      <c r="C8" s="5" t="s">
        <v>161</v>
      </c>
      <c r="D8" s="5" t="s">
        <v>162</v>
      </c>
      <c r="E8" s="5" t="s">
        <v>163</v>
      </c>
      <c r="F8" s="5" t="s">
        <v>164</v>
      </c>
      <c r="G8" s="5" t="s">
        <v>150</v>
      </c>
      <c r="H8" s="5" t="s">
        <v>75</v>
      </c>
      <c r="I8" s="5" t="s">
        <v>165</v>
      </c>
    </row>
    <row r="9" customFormat="false" ht="23.25" hidden="false" customHeight="true" outlineLevel="0" collapsed="false">
      <c r="A9" s="19" t="s">
        <v>166</v>
      </c>
      <c r="B9" s="19" t="s">
        <v>145</v>
      </c>
      <c r="C9" s="19" t="s">
        <v>167</v>
      </c>
      <c r="D9" s="19" t="s">
        <v>168</v>
      </c>
      <c r="E9" s="19" t="s">
        <v>169</v>
      </c>
      <c r="F9" s="19" t="s">
        <v>149</v>
      </c>
      <c r="G9" s="19" t="s">
        <v>150</v>
      </c>
      <c r="H9" s="19" t="s">
        <v>75</v>
      </c>
      <c r="I9" s="19" t="s">
        <v>170</v>
      </c>
    </row>
    <row r="11" customFormat="false" ht="18" hidden="false" customHeight="true" outlineLevel="0" collapsed="false">
      <c r="A11" s="4" t="s">
        <v>171</v>
      </c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A12" s="6" t="s">
        <v>137</v>
      </c>
      <c r="B12" s="6" t="s">
        <v>138</v>
      </c>
      <c r="C12" s="6" t="s">
        <v>139</v>
      </c>
      <c r="D12" s="6" t="s">
        <v>140</v>
      </c>
      <c r="E12" s="6" t="s">
        <v>141</v>
      </c>
      <c r="F12" s="6" t="s">
        <v>142</v>
      </c>
      <c r="G12" s="6" t="s">
        <v>143</v>
      </c>
      <c r="H12" s="6" t="s">
        <v>69</v>
      </c>
      <c r="I12" s="6" t="s">
        <v>30</v>
      </c>
    </row>
    <row r="13" customFormat="false" ht="23.25" hidden="false" customHeight="true" outlineLevel="0" collapsed="false">
      <c r="A13" s="5" t="s">
        <v>172</v>
      </c>
      <c r="B13" s="5" t="s">
        <v>160</v>
      </c>
      <c r="C13" s="5" t="s">
        <v>173</v>
      </c>
      <c r="D13" s="5" t="s">
        <v>174</v>
      </c>
      <c r="E13" s="5" t="s">
        <v>175</v>
      </c>
      <c r="F13" s="5" t="s">
        <v>176</v>
      </c>
      <c r="G13" s="5" t="s">
        <v>177</v>
      </c>
      <c r="H13" s="5" t="s">
        <v>99</v>
      </c>
      <c r="I13" s="5" t="s">
        <v>178</v>
      </c>
    </row>
    <row r="14" customFormat="false" ht="23.25" hidden="false" customHeight="true" outlineLevel="0" collapsed="false">
      <c r="A14" s="5" t="s">
        <v>152</v>
      </c>
      <c r="B14" s="5" t="s">
        <v>153</v>
      </c>
      <c r="C14" s="5" t="s">
        <v>179</v>
      </c>
      <c r="D14" s="5" t="s">
        <v>180</v>
      </c>
      <c r="E14" s="5" t="s">
        <v>181</v>
      </c>
      <c r="F14" s="5" t="s">
        <v>182</v>
      </c>
      <c r="G14" s="5" t="s">
        <v>183</v>
      </c>
      <c r="H14" s="5" t="s">
        <v>99</v>
      </c>
      <c r="I14" s="5" t="s">
        <v>184</v>
      </c>
    </row>
    <row r="15" customFormat="false" ht="23.25" hidden="false" customHeight="true" outlineLevel="0" collapsed="false">
      <c r="A15" s="5" t="s">
        <v>185</v>
      </c>
      <c r="B15" s="5" t="s">
        <v>145</v>
      </c>
      <c r="C15" s="5" t="s">
        <v>186</v>
      </c>
      <c r="D15" s="5" t="s">
        <v>187</v>
      </c>
      <c r="E15" s="5" t="s">
        <v>188</v>
      </c>
      <c r="F15" s="5" t="s">
        <v>150</v>
      </c>
      <c r="G15" s="5" t="s">
        <v>177</v>
      </c>
      <c r="H15" s="5" t="s">
        <v>189</v>
      </c>
      <c r="I15" s="5" t="s">
        <v>190</v>
      </c>
    </row>
    <row r="16" customFormat="false" ht="23.25" hidden="false" customHeight="true" outlineLevel="0" collapsed="false">
      <c r="A16" s="5" t="s">
        <v>159</v>
      </c>
      <c r="B16" s="5" t="s">
        <v>160</v>
      </c>
      <c r="C16" s="5" t="s">
        <v>191</v>
      </c>
      <c r="D16" s="5" t="s">
        <v>192</v>
      </c>
      <c r="E16" s="5" t="s">
        <v>193</v>
      </c>
      <c r="F16" s="5" t="s">
        <v>150</v>
      </c>
      <c r="G16" s="5" t="s">
        <v>177</v>
      </c>
      <c r="H16" s="5" t="s">
        <v>189</v>
      </c>
      <c r="I16" s="5" t="s">
        <v>194</v>
      </c>
    </row>
    <row r="17" customFormat="false" ht="15" hidden="false" customHeight="true" outlineLevel="0" collapsed="false">
      <c r="A17" s="5" t="s">
        <v>159</v>
      </c>
      <c r="B17" s="5" t="s">
        <v>160</v>
      </c>
      <c r="C17" s="5" t="s">
        <v>195</v>
      </c>
      <c r="D17" s="5" t="s">
        <v>196</v>
      </c>
      <c r="E17" s="5" t="s">
        <v>197</v>
      </c>
      <c r="F17" s="5" t="s">
        <v>198</v>
      </c>
      <c r="G17" s="5" t="s">
        <v>177</v>
      </c>
      <c r="H17" s="5" t="s">
        <v>99</v>
      </c>
      <c r="I17" s="5" t="s">
        <v>199</v>
      </c>
    </row>
    <row r="18" customFormat="false" ht="23.25" hidden="false" customHeight="true" outlineLevel="0" collapsed="false">
      <c r="A18" s="5" t="s">
        <v>200</v>
      </c>
      <c r="B18" s="5" t="s">
        <v>145</v>
      </c>
      <c r="C18" s="5" t="s">
        <v>201</v>
      </c>
      <c r="D18" s="5" t="s">
        <v>202</v>
      </c>
      <c r="E18" s="5" t="s">
        <v>203</v>
      </c>
      <c r="F18" s="5" t="s">
        <v>204</v>
      </c>
      <c r="G18" s="5" t="s">
        <v>205</v>
      </c>
      <c r="H18" s="19" t="s">
        <v>75</v>
      </c>
      <c r="I18" s="5" t="s">
        <v>206</v>
      </c>
    </row>
    <row r="19" customFormat="false" ht="23.25" hidden="false" customHeight="true" outlineLevel="0" collapsed="false">
      <c r="A19" s="5" t="s">
        <v>200</v>
      </c>
      <c r="B19" s="5" t="s">
        <v>145</v>
      </c>
      <c r="C19" s="5" t="s">
        <v>207</v>
      </c>
      <c r="D19" s="5" t="s">
        <v>208</v>
      </c>
      <c r="E19" s="5" t="s">
        <v>209</v>
      </c>
      <c r="F19" s="5" t="s">
        <v>210</v>
      </c>
      <c r="G19" s="5" t="s">
        <v>211</v>
      </c>
      <c r="H19" s="19" t="s">
        <v>75</v>
      </c>
      <c r="I19" s="5" t="s">
        <v>212</v>
      </c>
    </row>
    <row r="20" customFormat="false" ht="23.25" hidden="false" customHeight="true" outlineLevel="0" collapsed="false">
      <c r="A20" s="13" t="s">
        <v>213</v>
      </c>
      <c r="B20" s="13" t="s">
        <v>214</v>
      </c>
      <c r="C20" s="13" t="s">
        <v>215</v>
      </c>
      <c r="D20" s="13" t="s">
        <v>216</v>
      </c>
      <c r="E20" s="13" t="s">
        <v>217</v>
      </c>
      <c r="F20" s="13" t="s">
        <v>218</v>
      </c>
      <c r="G20" s="13" t="s">
        <v>150</v>
      </c>
      <c r="H20" s="19" t="s">
        <v>75</v>
      </c>
      <c r="I20" s="13" t="s">
        <v>219</v>
      </c>
    </row>
    <row r="21" customFormat="false" ht="15" hidden="false" customHeight="true" outlineLevel="0" collapsed="false">
      <c r="A21" s="13" t="s">
        <v>213</v>
      </c>
      <c r="B21" s="13" t="s">
        <v>214</v>
      </c>
      <c r="C21" s="13" t="s">
        <v>220</v>
      </c>
      <c r="D21" s="13" t="s">
        <v>221</v>
      </c>
      <c r="E21" s="13" t="s">
        <v>222</v>
      </c>
      <c r="F21" s="13" t="s">
        <v>223</v>
      </c>
      <c r="G21" s="13" t="s">
        <v>150</v>
      </c>
      <c r="H21" s="19" t="s">
        <v>75</v>
      </c>
      <c r="I21" s="13" t="s">
        <v>224</v>
      </c>
    </row>
    <row r="22" customFormat="false" ht="23.25" hidden="false" customHeight="true" outlineLevel="0" collapsed="false">
      <c r="A22" s="5" t="s">
        <v>166</v>
      </c>
      <c r="B22" s="5" t="s">
        <v>145</v>
      </c>
      <c r="C22" s="5" t="s">
        <v>225</v>
      </c>
      <c r="D22" s="5" t="s">
        <v>174</v>
      </c>
      <c r="E22" s="5" t="s">
        <v>175</v>
      </c>
      <c r="F22" s="5" t="s">
        <v>176</v>
      </c>
      <c r="G22" s="5" t="s">
        <v>150</v>
      </c>
      <c r="H22" s="5" t="s">
        <v>99</v>
      </c>
      <c r="I22" s="5" t="s">
        <v>226</v>
      </c>
    </row>
    <row r="24" customFormat="false" ht="18" hidden="false" customHeight="true" outlineLevel="0" collapsed="false">
      <c r="A24" s="4" t="s">
        <v>227</v>
      </c>
      <c r="B24" s="4"/>
      <c r="C24" s="4"/>
      <c r="D24" s="4"/>
      <c r="E24" s="4"/>
      <c r="F24" s="4"/>
      <c r="G24" s="4"/>
      <c r="H24" s="4"/>
      <c r="I24" s="4"/>
    </row>
    <row r="25" customFormat="false" ht="43.5" hidden="false" customHeight="true" outlineLevel="0" collapsed="false">
      <c r="A25" s="16" t="s">
        <v>228</v>
      </c>
      <c r="B25" s="20" t="s">
        <v>229</v>
      </c>
      <c r="C25" s="20"/>
      <c r="D25" s="20"/>
      <c r="E25" s="20"/>
      <c r="F25" s="20"/>
      <c r="G25" s="20"/>
      <c r="H25" s="20"/>
      <c r="I25" s="20"/>
    </row>
    <row r="26" customFormat="false" ht="43.5" hidden="false" customHeight="true" outlineLevel="0" collapsed="false">
      <c r="A26" s="16" t="s">
        <v>230</v>
      </c>
      <c r="B26" s="20" t="s">
        <v>231</v>
      </c>
      <c r="C26" s="20"/>
      <c r="D26" s="20"/>
      <c r="E26" s="20"/>
      <c r="F26" s="20"/>
      <c r="G26" s="20"/>
      <c r="H26" s="20"/>
      <c r="I26" s="20"/>
    </row>
    <row r="27" customFormat="false" ht="43.5" hidden="false" customHeight="true" outlineLevel="0" collapsed="false">
      <c r="A27" s="16" t="s">
        <v>232</v>
      </c>
      <c r="B27" s="20" t="s">
        <v>233</v>
      </c>
      <c r="C27" s="20"/>
      <c r="D27" s="20"/>
      <c r="E27" s="20"/>
      <c r="F27" s="20"/>
      <c r="G27" s="20"/>
      <c r="H27" s="20"/>
      <c r="I27" s="20"/>
    </row>
    <row r="28" customFormat="false" ht="43.5" hidden="false" customHeight="true" outlineLevel="0" collapsed="false">
      <c r="A28" s="16" t="s">
        <v>234</v>
      </c>
      <c r="B28" s="20" t="s">
        <v>235</v>
      </c>
      <c r="C28" s="20"/>
      <c r="D28" s="20"/>
      <c r="E28" s="20"/>
      <c r="F28" s="20"/>
      <c r="G28" s="20"/>
      <c r="H28" s="20"/>
      <c r="I28" s="20"/>
    </row>
  </sheetData>
  <mergeCells count="9">
    <mergeCell ref="A1:I1"/>
    <mergeCell ref="A2:I2"/>
    <mergeCell ref="A4:I4"/>
    <mergeCell ref="A11:I11"/>
    <mergeCell ref="A24:I24"/>
    <mergeCell ref="B25:I25"/>
    <mergeCell ref="B26:I26"/>
    <mergeCell ref="B27:I27"/>
    <mergeCell ref="B28:I28"/>
  </mergeCells>
  <dataValidations count="1">
    <dataValidation allowBlank="true" errorStyle="stop" operator="between" showDropDown="false" showErrorMessage="false" showInputMessage="false" sqref="H6:H9 H13:H22" type="list">
      <formula1>"To do,In progress,Booked,Paid,N/A"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5EA7"/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34"/>
  </cols>
  <sheetData>
    <row r="1" customFormat="false" ht="24" hidden="false" customHeight="true" outlineLevel="0" collapsed="false">
      <c r="A1" s="2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237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6" t="s">
        <v>238</v>
      </c>
      <c r="B4" s="6" t="s">
        <v>239</v>
      </c>
      <c r="C4" s="6" t="s">
        <v>240</v>
      </c>
      <c r="D4" s="6" t="s">
        <v>29</v>
      </c>
      <c r="E4" s="6" t="s">
        <v>241</v>
      </c>
      <c r="F4" s="6" t="s">
        <v>242</v>
      </c>
      <c r="G4" s="6" t="s">
        <v>243</v>
      </c>
      <c r="H4" s="6" t="s">
        <v>244</v>
      </c>
      <c r="I4" s="6" t="s">
        <v>69</v>
      </c>
      <c r="J4" s="6" t="s">
        <v>70</v>
      </c>
      <c r="K4" s="6" t="s">
        <v>30</v>
      </c>
    </row>
    <row r="5" customFormat="false" ht="34.5" hidden="false" customHeight="true" outlineLevel="0" collapsed="false">
      <c r="A5" s="5" t="s">
        <v>245</v>
      </c>
      <c r="B5" s="5" t="s">
        <v>246</v>
      </c>
      <c r="C5" s="5" t="s">
        <v>247</v>
      </c>
      <c r="D5" s="5" t="n">
        <v>4</v>
      </c>
      <c r="E5" s="5" t="s">
        <v>248</v>
      </c>
      <c r="F5" s="5" t="s">
        <v>249</v>
      </c>
      <c r="G5" s="5" t="s">
        <v>250</v>
      </c>
      <c r="H5" s="5" t="s">
        <v>251</v>
      </c>
      <c r="I5" s="5" t="s">
        <v>252</v>
      </c>
      <c r="J5" s="5" t="s">
        <v>253</v>
      </c>
      <c r="K5" s="5" t="s">
        <v>254</v>
      </c>
    </row>
    <row r="6" customFormat="false" ht="15" hidden="false" customHeight="true" outlineLevel="0" collapsed="false">
      <c r="A6" s="5" t="s">
        <v>255</v>
      </c>
      <c r="B6" s="5" t="s">
        <v>247</v>
      </c>
      <c r="C6" s="5" t="s">
        <v>256</v>
      </c>
      <c r="D6" s="5" t="n">
        <v>2</v>
      </c>
      <c r="E6" s="5" t="s">
        <v>248</v>
      </c>
      <c r="F6" s="5" t="s">
        <v>257</v>
      </c>
      <c r="G6" s="5" t="s">
        <v>258</v>
      </c>
      <c r="H6" s="5" t="s">
        <v>259</v>
      </c>
      <c r="I6" s="5" t="s">
        <v>252</v>
      </c>
      <c r="J6" s="5" t="s">
        <v>260</v>
      </c>
      <c r="K6" s="5" t="s">
        <v>261</v>
      </c>
    </row>
    <row r="7" customFormat="false" ht="23.25" hidden="false" customHeight="true" outlineLevel="0" collapsed="false">
      <c r="A7" s="7" t="s">
        <v>262</v>
      </c>
      <c r="B7" s="7" t="s">
        <v>256</v>
      </c>
      <c r="C7" s="7" t="s">
        <v>263</v>
      </c>
      <c r="D7" s="7" t="n">
        <v>1</v>
      </c>
      <c r="E7" s="7" t="s">
        <v>264</v>
      </c>
      <c r="F7" s="7" t="s">
        <v>265</v>
      </c>
      <c r="G7" s="7" t="s">
        <v>266</v>
      </c>
      <c r="H7" s="7" t="s">
        <v>267</v>
      </c>
      <c r="I7" s="7" t="s">
        <v>252</v>
      </c>
      <c r="J7" s="7" t="s">
        <v>268</v>
      </c>
      <c r="K7" s="7" t="s">
        <v>269</v>
      </c>
    </row>
    <row r="8" customFormat="false" ht="15" hidden="false" customHeight="true" outlineLevel="0" collapsed="false">
      <c r="A8" s="5" t="s">
        <v>270</v>
      </c>
      <c r="B8" s="5" t="s">
        <v>263</v>
      </c>
      <c r="C8" s="5" t="s">
        <v>271</v>
      </c>
      <c r="D8" s="5" t="n">
        <v>4</v>
      </c>
      <c r="E8" s="5" t="s">
        <v>248</v>
      </c>
      <c r="F8" s="5" t="s">
        <v>272</v>
      </c>
      <c r="G8" s="5" t="s">
        <v>273</v>
      </c>
      <c r="H8" s="5" t="s">
        <v>274</v>
      </c>
      <c r="I8" s="5" t="s">
        <v>252</v>
      </c>
      <c r="J8" s="5" t="s">
        <v>275</v>
      </c>
      <c r="K8" s="5" t="s">
        <v>276</v>
      </c>
    </row>
    <row r="9" customFormat="false" ht="15" hidden="false" customHeight="true" outlineLevel="0" collapsed="false">
      <c r="A9" s="5" t="s">
        <v>277</v>
      </c>
      <c r="B9" s="5" t="s">
        <v>271</v>
      </c>
      <c r="C9" s="5" t="s">
        <v>278</v>
      </c>
      <c r="D9" s="5" t="n">
        <v>2</v>
      </c>
      <c r="E9" s="5" t="s">
        <v>248</v>
      </c>
      <c r="F9" s="5" t="s">
        <v>279</v>
      </c>
      <c r="G9" s="5" t="s">
        <v>280</v>
      </c>
      <c r="H9" s="5" t="s">
        <v>281</v>
      </c>
      <c r="I9" s="5" t="s">
        <v>252</v>
      </c>
      <c r="J9" s="5" t="s">
        <v>282</v>
      </c>
      <c r="K9" s="5" t="s">
        <v>283</v>
      </c>
    </row>
    <row r="10" customFormat="false" ht="15" hidden="false" customHeight="true" outlineLevel="0" collapsed="false">
      <c r="A10" s="5" t="s">
        <v>284</v>
      </c>
      <c r="B10" s="5" t="s">
        <v>278</v>
      </c>
      <c r="C10" s="5" t="s">
        <v>285</v>
      </c>
      <c r="D10" s="5" t="n">
        <v>2</v>
      </c>
      <c r="E10" s="5" t="s">
        <v>248</v>
      </c>
      <c r="F10" s="5" t="s">
        <v>286</v>
      </c>
      <c r="G10" s="5" t="s">
        <v>287</v>
      </c>
      <c r="H10" s="5" t="s">
        <v>288</v>
      </c>
      <c r="I10" s="5" t="s">
        <v>252</v>
      </c>
      <c r="J10" s="5" t="s">
        <v>289</v>
      </c>
      <c r="K10" s="5" t="s">
        <v>290</v>
      </c>
    </row>
    <row r="11" customFormat="false" ht="15" hidden="false" customHeight="true" outlineLevel="0" collapsed="false">
      <c r="A11" s="5" t="s">
        <v>291</v>
      </c>
      <c r="B11" s="5" t="s">
        <v>285</v>
      </c>
      <c r="C11" s="5" t="s">
        <v>292</v>
      </c>
      <c r="D11" s="5" t="n">
        <v>1</v>
      </c>
      <c r="E11" s="5" t="s">
        <v>264</v>
      </c>
      <c r="F11" s="5" t="s">
        <v>293</v>
      </c>
      <c r="G11" s="5" t="s">
        <v>294</v>
      </c>
      <c r="H11" s="5" t="s">
        <v>295</v>
      </c>
      <c r="I11" s="5" t="s">
        <v>252</v>
      </c>
      <c r="J11" s="5" t="s">
        <v>296</v>
      </c>
      <c r="K11" s="5" t="s">
        <v>297</v>
      </c>
    </row>
    <row r="12" customFormat="false" ht="15" hidden="false" customHeight="true" outlineLevel="0" collapsed="false">
      <c r="A12" s="13" t="s">
        <v>298</v>
      </c>
      <c r="B12" s="13" t="s">
        <v>292</v>
      </c>
      <c r="C12" s="13" t="s">
        <v>299</v>
      </c>
      <c r="D12" s="13" t="n">
        <v>4</v>
      </c>
      <c r="E12" s="13" t="s">
        <v>264</v>
      </c>
      <c r="F12" s="5" t="s">
        <v>300</v>
      </c>
      <c r="G12" s="5" t="s">
        <v>301</v>
      </c>
      <c r="H12" s="5" t="s">
        <v>302</v>
      </c>
      <c r="I12" s="5" t="s">
        <v>252</v>
      </c>
      <c r="J12" s="5" t="s">
        <v>303</v>
      </c>
      <c r="K12" s="13" t="s">
        <v>304</v>
      </c>
    </row>
    <row r="13" customFormat="false" ht="15" hidden="false" customHeight="true" outlineLevel="0" collapsed="false">
      <c r="A13" s="8" t="s">
        <v>305</v>
      </c>
      <c r="B13" s="9"/>
      <c r="C13" s="9"/>
      <c r="D13" s="8" t="n">
        <f aca="false">SUM(D5:D12)</f>
        <v>20</v>
      </c>
      <c r="E13" s="9"/>
      <c r="F13" s="9"/>
      <c r="G13" s="9"/>
      <c r="H13" s="9"/>
      <c r="I13" s="9"/>
      <c r="J13" s="9"/>
      <c r="K13" s="9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I5:I11" type="list">
      <formula1>"To do,In progress,Booked,Paid,N/A"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74"/>
    <col collapsed="false" customWidth="true" hidden="false" outlineLevel="0" max="5" min="5" style="1" width="30"/>
  </cols>
  <sheetData>
    <row r="1" customFormat="false" ht="24" hidden="false" customHeight="true" outlineLevel="0" collapsed="false">
      <c r="A1" s="2" t="s">
        <v>306</v>
      </c>
      <c r="B1" s="2"/>
      <c r="C1" s="2"/>
      <c r="D1" s="2"/>
      <c r="E1" s="2"/>
    </row>
    <row r="2" customFormat="false" ht="18" hidden="false" customHeight="true" outlineLevel="0" collapsed="false">
      <c r="A2" s="3" t="s">
        <v>307</v>
      </c>
      <c r="B2" s="3"/>
      <c r="C2" s="3"/>
      <c r="D2" s="3"/>
      <c r="E2" s="3"/>
    </row>
    <row r="4" customFormat="false" ht="15" hidden="false" customHeight="true" outlineLevel="0" collapsed="false">
      <c r="A4" s="6" t="s">
        <v>137</v>
      </c>
      <c r="B4" s="6" t="s">
        <v>138</v>
      </c>
      <c r="C4" s="6" t="s">
        <v>28</v>
      </c>
      <c r="D4" s="6" t="s">
        <v>308</v>
      </c>
      <c r="E4" s="6" t="s">
        <v>309</v>
      </c>
    </row>
    <row r="5" customFormat="false" ht="23.25" hidden="false" customHeight="true" outlineLevel="0" collapsed="false">
      <c r="A5" s="5" t="s">
        <v>172</v>
      </c>
      <c r="B5" s="5" t="s">
        <v>160</v>
      </c>
      <c r="C5" s="5" t="s">
        <v>310</v>
      </c>
      <c r="D5" s="5" t="s">
        <v>311</v>
      </c>
      <c r="E5" s="5" t="s">
        <v>312</v>
      </c>
    </row>
    <row r="6" customFormat="false" ht="23.25" hidden="false" customHeight="true" outlineLevel="0" collapsed="false">
      <c r="A6" s="18" t="s">
        <v>313</v>
      </c>
      <c r="B6" s="18" t="s">
        <v>314</v>
      </c>
      <c r="C6" s="18" t="s">
        <v>310</v>
      </c>
      <c r="D6" s="18" t="s">
        <v>315</v>
      </c>
      <c r="E6" s="18" t="s">
        <v>316</v>
      </c>
    </row>
    <row r="7" customFormat="false" ht="23.25" hidden="false" customHeight="true" outlineLevel="0" collapsed="false">
      <c r="A7" s="5" t="s">
        <v>317</v>
      </c>
      <c r="B7" s="5" t="s">
        <v>214</v>
      </c>
      <c r="C7" s="5" t="s">
        <v>310</v>
      </c>
      <c r="D7" s="5" t="s">
        <v>318</v>
      </c>
      <c r="E7" s="5" t="s">
        <v>319</v>
      </c>
    </row>
    <row r="8" customFormat="false" ht="23.25" hidden="false" customHeight="true" outlineLevel="0" collapsed="false">
      <c r="A8" s="18" t="s">
        <v>320</v>
      </c>
      <c r="B8" s="18" t="s">
        <v>321</v>
      </c>
      <c r="C8" s="18" t="s">
        <v>310</v>
      </c>
      <c r="D8" s="18" t="s">
        <v>322</v>
      </c>
      <c r="E8" s="18" t="s">
        <v>323</v>
      </c>
    </row>
    <row r="9" customFormat="false" ht="23.25" hidden="false" customHeight="true" outlineLevel="0" collapsed="false">
      <c r="A9" s="5" t="s">
        <v>152</v>
      </c>
      <c r="B9" s="5" t="s">
        <v>153</v>
      </c>
      <c r="C9" s="5" t="s">
        <v>34</v>
      </c>
      <c r="D9" s="5" t="s">
        <v>324</v>
      </c>
      <c r="E9" s="5" t="s">
        <v>325</v>
      </c>
    </row>
    <row r="10" customFormat="false" ht="23.25" hidden="false" customHeight="true" outlineLevel="0" collapsed="false">
      <c r="A10" s="18" t="s">
        <v>326</v>
      </c>
      <c r="B10" s="18" t="s">
        <v>327</v>
      </c>
      <c r="C10" s="18" t="s">
        <v>34</v>
      </c>
      <c r="D10" s="18" t="s">
        <v>328</v>
      </c>
      <c r="E10" s="18" t="s">
        <v>329</v>
      </c>
    </row>
    <row r="11" customFormat="false" ht="23.25" hidden="false" customHeight="true" outlineLevel="0" collapsed="false">
      <c r="A11" s="5" t="s">
        <v>185</v>
      </c>
      <c r="B11" s="5" t="s">
        <v>145</v>
      </c>
      <c r="C11" s="5" t="s">
        <v>330</v>
      </c>
      <c r="D11" s="5" t="s">
        <v>331</v>
      </c>
      <c r="E11" s="5" t="s">
        <v>332</v>
      </c>
    </row>
    <row r="12" customFormat="false" ht="23.25" hidden="false" customHeight="true" outlineLevel="0" collapsed="false">
      <c r="A12" s="18" t="s">
        <v>159</v>
      </c>
      <c r="B12" s="18" t="s">
        <v>160</v>
      </c>
      <c r="C12" s="18" t="s">
        <v>40</v>
      </c>
      <c r="D12" s="18" t="s">
        <v>333</v>
      </c>
      <c r="E12" s="18" t="s">
        <v>334</v>
      </c>
    </row>
    <row r="13" customFormat="false" ht="23.25" hidden="false" customHeight="true" outlineLevel="0" collapsed="false">
      <c r="A13" s="5" t="s">
        <v>335</v>
      </c>
      <c r="B13" s="5" t="s">
        <v>314</v>
      </c>
      <c r="C13" s="5" t="s">
        <v>40</v>
      </c>
      <c r="D13" s="5" t="s">
        <v>336</v>
      </c>
      <c r="E13" s="5" t="s">
        <v>337</v>
      </c>
    </row>
    <row r="14" customFormat="false" ht="23.25" hidden="false" customHeight="true" outlineLevel="0" collapsed="false">
      <c r="A14" s="18" t="s">
        <v>338</v>
      </c>
      <c r="B14" s="18" t="s">
        <v>214</v>
      </c>
      <c r="C14" s="18" t="s">
        <v>40</v>
      </c>
      <c r="D14" s="18" t="s">
        <v>339</v>
      </c>
      <c r="E14" s="18" t="s">
        <v>340</v>
      </c>
    </row>
    <row r="15" customFormat="false" ht="23.25" hidden="false" customHeight="true" outlineLevel="0" collapsed="false">
      <c r="A15" s="5" t="s">
        <v>341</v>
      </c>
      <c r="B15" s="5" t="s">
        <v>321</v>
      </c>
      <c r="C15" s="5" t="s">
        <v>40</v>
      </c>
      <c r="D15" s="5" t="s">
        <v>342</v>
      </c>
      <c r="E15" s="5" t="s">
        <v>343</v>
      </c>
    </row>
    <row r="16" customFormat="false" ht="23.25" hidden="false" customHeight="true" outlineLevel="0" collapsed="false">
      <c r="A16" s="18" t="s">
        <v>344</v>
      </c>
      <c r="B16" s="18" t="s">
        <v>153</v>
      </c>
      <c r="C16" s="18" t="s">
        <v>43</v>
      </c>
      <c r="D16" s="18" t="s">
        <v>345</v>
      </c>
      <c r="E16" s="18" t="s">
        <v>346</v>
      </c>
    </row>
    <row r="17" customFormat="false" ht="23.25" hidden="false" customHeight="true" outlineLevel="0" collapsed="false">
      <c r="A17" s="5" t="s">
        <v>347</v>
      </c>
      <c r="B17" s="5" t="s">
        <v>327</v>
      </c>
      <c r="C17" s="5" t="s">
        <v>43</v>
      </c>
      <c r="D17" s="5" t="s">
        <v>348</v>
      </c>
      <c r="E17" s="5" t="s">
        <v>349</v>
      </c>
    </row>
    <row r="18" customFormat="false" ht="23.25" hidden="false" customHeight="true" outlineLevel="0" collapsed="false">
      <c r="A18" s="18" t="s">
        <v>200</v>
      </c>
      <c r="B18" s="18" t="s">
        <v>145</v>
      </c>
      <c r="C18" s="18" t="s">
        <v>46</v>
      </c>
      <c r="D18" s="18" t="s">
        <v>350</v>
      </c>
      <c r="E18" s="18" t="s">
        <v>351</v>
      </c>
    </row>
    <row r="19" customFormat="false" ht="23.25" hidden="false" customHeight="true" outlineLevel="0" collapsed="false">
      <c r="A19" s="5" t="s">
        <v>352</v>
      </c>
      <c r="B19" s="5" t="s">
        <v>160</v>
      </c>
      <c r="C19" s="5" t="s">
        <v>46</v>
      </c>
      <c r="D19" s="5" t="s">
        <v>353</v>
      </c>
      <c r="E19" s="5" t="s">
        <v>354</v>
      </c>
    </row>
    <row r="20" customFormat="false" ht="23.25" hidden="false" customHeight="true" outlineLevel="0" collapsed="false">
      <c r="A20" s="18" t="s">
        <v>355</v>
      </c>
      <c r="B20" s="18" t="s">
        <v>314</v>
      </c>
      <c r="C20" s="18" t="s">
        <v>356</v>
      </c>
      <c r="D20" s="18" t="s">
        <v>357</v>
      </c>
      <c r="E20" s="18" t="s">
        <v>358</v>
      </c>
    </row>
    <row r="21" customFormat="false" ht="23.25" hidden="false" customHeight="true" outlineLevel="0" collapsed="false">
      <c r="A21" s="5" t="s">
        <v>213</v>
      </c>
      <c r="B21" s="5" t="s">
        <v>214</v>
      </c>
      <c r="C21" s="5" t="s">
        <v>359</v>
      </c>
      <c r="D21" s="5" t="s">
        <v>360</v>
      </c>
      <c r="E21" s="5" t="s">
        <v>361</v>
      </c>
    </row>
    <row r="22" customFormat="false" ht="23.25" hidden="false" customHeight="true" outlineLevel="0" collapsed="false">
      <c r="A22" s="18" t="s">
        <v>362</v>
      </c>
      <c r="B22" s="18" t="s">
        <v>321</v>
      </c>
      <c r="C22" s="18" t="s">
        <v>310</v>
      </c>
      <c r="D22" s="18" t="s">
        <v>363</v>
      </c>
      <c r="E22" s="18" t="s">
        <v>364</v>
      </c>
    </row>
    <row r="23" customFormat="false" ht="23.25" hidden="false" customHeight="true" outlineLevel="0" collapsed="false">
      <c r="A23" s="5" t="s">
        <v>365</v>
      </c>
      <c r="B23" s="5" t="s">
        <v>153</v>
      </c>
      <c r="C23" s="5" t="s">
        <v>310</v>
      </c>
      <c r="D23" s="5" t="s">
        <v>366</v>
      </c>
      <c r="E23" s="5" t="s">
        <v>367</v>
      </c>
    </row>
    <row r="24" customFormat="false" ht="23.25" hidden="false" customHeight="true" outlineLevel="0" collapsed="false">
      <c r="A24" s="18" t="s">
        <v>368</v>
      </c>
      <c r="B24" s="18" t="s">
        <v>327</v>
      </c>
      <c r="C24" s="18" t="s">
        <v>310</v>
      </c>
      <c r="D24" s="18" t="s">
        <v>369</v>
      </c>
      <c r="E24" s="18" t="s">
        <v>370</v>
      </c>
    </row>
    <row r="25" customFormat="false" ht="23.25" hidden="false" customHeight="true" outlineLevel="0" collapsed="false">
      <c r="A25" s="5" t="s">
        <v>166</v>
      </c>
      <c r="B25" s="5" t="s">
        <v>145</v>
      </c>
      <c r="C25" s="5" t="s">
        <v>150</v>
      </c>
      <c r="D25" s="5" t="s">
        <v>371</v>
      </c>
      <c r="E25" s="5" t="s">
        <v>372</v>
      </c>
    </row>
    <row r="26" customFormat="false" ht="15" hidden="false" customHeight="true" outlineLevel="0" collapsed="false">
      <c r="A26" s="11" t="s">
        <v>373</v>
      </c>
      <c r="B26" s="11"/>
      <c r="C26" s="11"/>
      <c r="D26" s="11"/>
      <c r="E26" s="11"/>
    </row>
  </sheetData>
  <mergeCells count="3">
    <mergeCell ref="A1:E1"/>
    <mergeCell ref="A2:E2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651D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40"/>
  </cols>
  <sheetData>
    <row r="1" customFormat="false" ht="24" hidden="false" customHeight="true" outlineLevel="0" collapsed="false">
      <c r="A1" s="2" t="s">
        <v>374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375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6" t="s">
        <v>376</v>
      </c>
      <c r="B4" s="6" t="s">
        <v>377</v>
      </c>
      <c r="C4" s="6" t="s">
        <v>378</v>
      </c>
      <c r="D4" s="6" t="s">
        <v>143</v>
      </c>
      <c r="E4" s="6" t="s">
        <v>69</v>
      </c>
      <c r="F4" s="6" t="s">
        <v>30</v>
      </c>
    </row>
    <row r="5" customFormat="false" ht="23.25" hidden="false" customHeight="true" outlineLevel="0" collapsed="false">
      <c r="A5" s="5" t="s">
        <v>310</v>
      </c>
      <c r="B5" s="5" t="s">
        <v>379</v>
      </c>
      <c r="C5" s="5" t="s">
        <v>380</v>
      </c>
      <c r="D5" s="5" t="s">
        <v>381</v>
      </c>
      <c r="E5" s="5" t="s">
        <v>252</v>
      </c>
      <c r="F5" s="5" t="s">
        <v>382</v>
      </c>
    </row>
    <row r="6" customFormat="false" ht="23.25" hidden="false" customHeight="true" outlineLevel="0" collapsed="false">
      <c r="A6" s="18" t="s">
        <v>310</v>
      </c>
      <c r="B6" s="18" t="s">
        <v>383</v>
      </c>
      <c r="C6" s="18" t="s">
        <v>380</v>
      </c>
      <c r="D6" s="18" t="s">
        <v>381</v>
      </c>
      <c r="E6" s="18" t="s">
        <v>252</v>
      </c>
      <c r="F6" s="18" t="s">
        <v>384</v>
      </c>
    </row>
    <row r="7" customFormat="false" ht="15" hidden="false" customHeight="true" outlineLevel="0" collapsed="false">
      <c r="A7" s="18" t="s">
        <v>310</v>
      </c>
      <c r="B7" s="18" t="s">
        <v>385</v>
      </c>
      <c r="C7" s="18" t="s">
        <v>386</v>
      </c>
      <c r="D7" s="18" t="s">
        <v>387</v>
      </c>
      <c r="E7" s="18" t="s">
        <v>99</v>
      </c>
      <c r="F7" s="18" t="s">
        <v>388</v>
      </c>
    </row>
    <row r="8" customFormat="false" ht="23.25" hidden="false" customHeight="true" outlineLevel="0" collapsed="false">
      <c r="A8" s="5" t="s">
        <v>310</v>
      </c>
      <c r="B8" s="5" t="s">
        <v>389</v>
      </c>
      <c r="C8" s="5" t="s">
        <v>390</v>
      </c>
      <c r="D8" s="5" t="s">
        <v>177</v>
      </c>
      <c r="E8" s="5" t="s">
        <v>99</v>
      </c>
      <c r="F8" s="5" t="s">
        <v>391</v>
      </c>
    </row>
    <row r="9" customFormat="false" ht="34.5" hidden="false" customHeight="true" outlineLevel="0" collapsed="false">
      <c r="A9" s="18" t="s">
        <v>310</v>
      </c>
      <c r="B9" s="18" t="s">
        <v>392</v>
      </c>
      <c r="C9" s="18" t="s">
        <v>393</v>
      </c>
      <c r="D9" s="18" t="s">
        <v>394</v>
      </c>
      <c r="E9" s="18" t="s">
        <v>99</v>
      </c>
      <c r="F9" s="18" t="s">
        <v>395</v>
      </c>
    </row>
    <row r="10" customFormat="false" ht="23.25" hidden="false" customHeight="true" outlineLevel="0" collapsed="false">
      <c r="A10" s="18" t="s">
        <v>310</v>
      </c>
      <c r="B10" s="18" t="s">
        <v>396</v>
      </c>
      <c r="C10" s="18" t="s">
        <v>397</v>
      </c>
      <c r="D10" s="18" t="s">
        <v>381</v>
      </c>
      <c r="E10" s="18" t="s">
        <v>252</v>
      </c>
      <c r="F10" s="18" t="s">
        <v>398</v>
      </c>
    </row>
    <row r="11" customFormat="false" ht="15" hidden="false" customHeight="true" outlineLevel="0" collapsed="false">
      <c r="A11" s="18" t="s">
        <v>310</v>
      </c>
      <c r="B11" s="18" t="s">
        <v>399</v>
      </c>
      <c r="C11" s="18" t="s">
        <v>400</v>
      </c>
      <c r="D11" s="18" t="s">
        <v>381</v>
      </c>
      <c r="E11" s="18" t="s">
        <v>252</v>
      </c>
      <c r="F11" s="18" t="s">
        <v>401</v>
      </c>
    </row>
    <row r="12" customFormat="false" ht="23.25" hidden="false" customHeight="true" outlineLevel="0" collapsed="false">
      <c r="A12" s="5" t="s">
        <v>310</v>
      </c>
      <c r="B12" s="5" t="s">
        <v>402</v>
      </c>
      <c r="C12" s="5" t="s">
        <v>403</v>
      </c>
      <c r="D12" s="5" t="s">
        <v>177</v>
      </c>
      <c r="E12" s="5" t="s">
        <v>99</v>
      </c>
      <c r="F12" s="5" t="s">
        <v>404</v>
      </c>
    </row>
    <row r="13" customFormat="false" ht="23.25" hidden="false" customHeight="true" outlineLevel="0" collapsed="false">
      <c r="A13" s="18" t="s">
        <v>34</v>
      </c>
      <c r="B13" s="18" t="s">
        <v>405</v>
      </c>
      <c r="C13" s="18" t="s">
        <v>406</v>
      </c>
      <c r="D13" s="18" t="s">
        <v>177</v>
      </c>
      <c r="E13" s="18" t="s">
        <v>99</v>
      </c>
      <c r="F13" s="18" t="s">
        <v>152</v>
      </c>
    </row>
    <row r="14" customFormat="false" ht="15" hidden="false" customHeight="true" outlineLevel="0" collapsed="false">
      <c r="A14" s="5" t="s">
        <v>34</v>
      </c>
      <c r="B14" s="5" t="s">
        <v>407</v>
      </c>
      <c r="C14" s="5" t="s">
        <v>408</v>
      </c>
      <c r="D14" s="5" t="s">
        <v>387</v>
      </c>
      <c r="E14" s="5" t="s">
        <v>99</v>
      </c>
      <c r="F14" s="5" t="s">
        <v>409</v>
      </c>
    </row>
    <row r="15" customFormat="false" ht="15" hidden="false" customHeight="true" outlineLevel="0" collapsed="false">
      <c r="A15" s="18" t="s">
        <v>34</v>
      </c>
      <c r="B15" s="18" t="s">
        <v>410</v>
      </c>
      <c r="C15" s="18" t="s">
        <v>411</v>
      </c>
      <c r="D15" s="18" t="s">
        <v>177</v>
      </c>
      <c r="E15" s="18" t="s">
        <v>99</v>
      </c>
      <c r="F15" s="18" t="s">
        <v>412</v>
      </c>
    </row>
    <row r="16" customFormat="false" ht="23.25" hidden="false" customHeight="true" outlineLevel="0" collapsed="false">
      <c r="A16" s="5" t="s">
        <v>34</v>
      </c>
      <c r="B16" s="5" t="s">
        <v>413</v>
      </c>
      <c r="C16" s="5" t="s">
        <v>414</v>
      </c>
      <c r="D16" s="5" t="s">
        <v>394</v>
      </c>
      <c r="E16" s="5" t="s">
        <v>99</v>
      </c>
      <c r="F16" s="5" t="s">
        <v>415</v>
      </c>
    </row>
    <row r="17" customFormat="false" ht="15" hidden="false" customHeight="true" outlineLevel="0" collapsed="false">
      <c r="A17" s="18" t="s">
        <v>34</v>
      </c>
      <c r="B17" s="18" t="s">
        <v>416</v>
      </c>
      <c r="C17" s="18" t="s">
        <v>403</v>
      </c>
      <c r="D17" s="18" t="s">
        <v>177</v>
      </c>
      <c r="E17" s="18" t="s">
        <v>99</v>
      </c>
      <c r="F17" s="18" t="s">
        <v>417</v>
      </c>
    </row>
    <row r="18" customFormat="false" ht="34.5" hidden="false" customHeight="true" outlineLevel="0" collapsed="false">
      <c r="A18" s="5" t="s">
        <v>40</v>
      </c>
      <c r="B18" s="5" t="s">
        <v>418</v>
      </c>
      <c r="C18" s="5" t="s">
        <v>419</v>
      </c>
      <c r="D18" s="5" t="s">
        <v>381</v>
      </c>
      <c r="E18" s="5" t="s">
        <v>252</v>
      </c>
      <c r="F18" s="5" t="s">
        <v>420</v>
      </c>
    </row>
    <row r="19" customFormat="false" ht="15" hidden="false" customHeight="true" outlineLevel="0" collapsed="false">
      <c r="A19" s="5" t="s">
        <v>40</v>
      </c>
      <c r="B19" s="5" t="s">
        <v>421</v>
      </c>
      <c r="C19" s="5" t="s">
        <v>422</v>
      </c>
      <c r="D19" s="5" t="s">
        <v>381</v>
      </c>
      <c r="E19" s="5" t="s">
        <v>252</v>
      </c>
      <c r="F19" s="5" t="s">
        <v>423</v>
      </c>
    </row>
    <row r="20" customFormat="false" ht="15" hidden="false" customHeight="true" outlineLevel="0" collapsed="false">
      <c r="A20" s="18" t="s">
        <v>40</v>
      </c>
      <c r="B20" s="18" t="s">
        <v>424</v>
      </c>
      <c r="C20" s="18" t="s">
        <v>425</v>
      </c>
      <c r="D20" s="18" t="s">
        <v>394</v>
      </c>
      <c r="E20" s="18" t="s">
        <v>99</v>
      </c>
      <c r="F20" s="18"/>
    </row>
    <row r="21" customFormat="false" ht="23.25" hidden="false" customHeight="true" outlineLevel="0" collapsed="false">
      <c r="A21" s="5" t="s">
        <v>40</v>
      </c>
      <c r="B21" s="5" t="s">
        <v>426</v>
      </c>
      <c r="C21" s="5" t="s">
        <v>427</v>
      </c>
      <c r="D21" s="5" t="s">
        <v>177</v>
      </c>
      <c r="E21" s="5" t="s">
        <v>99</v>
      </c>
      <c r="F21" s="5" t="s">
        <v>159</v>
      </c>
    </row>
    <row r="22" customFormat="false" ht="23.25" hidden="false" customHeight="true" outlineLevel="0" collapsed="false">
      <c r="A22" s="18" t="s">
        <v>40</v>
      </c>
      <c r="B22" s="18" t="s">
        <v>428</v>
      </c>
      <c r="C22" s="18" t="s">
        <v>429</v>
      </c>
      <c r="D22" s="18" t="s">
        <v>177</v>
      </c>
      <c r="E22" s="18" t="s">
        <v>99</v>
      </c>
      <c r="F22" s="18"/>
    </row>
    <row r="23" customFormat="false" ht="15" hidden="false" customHeight="true" outlineLevel="0" collapsed="false">
      <c r="A23" s="5" t="s">
        <v>43</v>
      </c>
      <c r="B23" s="5" t="s">
        <v>430</v>
      </c>
      <c r="C23" s="5" t="s">
        <v>431</v>
      </c>
      <c r="D23" s="5" t="s">
        <v>177</v>
      </c>
      <c r="E23" s="5" t="s">
        <v>99</v>
      </c>
      <c r="F23" s="5" t="s">
        <v>344</v>
      </c>
    </row>
    <row r="24" customFormat="false" ht="23.25" hidden="false" customHeight="true" outlineLevel="0" collapsed="false">
      <c r="A24" s="18" t="s">
        <v>43</v>
      </c>
      <c r="B24" s="18" t="s">
        <v>432</v>
      </c>
      <c r="C24" s="18" t="s">
        <v>433</v>
      </c>
      <c r="D24" s="18" t="s">
        <v>177</v>
      </c>
      <c r="E24" s="18" t="s">
        <v>99</v>
      </c>
      <c r="F24" s="18" t="s">
        <v>434</v>
      </c>
    </row>
    <row r="25" customFormat="false" ht="23.25" hidden="false" customHeight="true" outlineLevel="0" collapsed="false">
      <c r="A25" s="5" t="s">
        <v>43</v>
      </c>
      <c r="B25" s="5" t="s">
        <v>435</v>
      </c>
      <c r="C25" s="5" t="s">
        <v>436</v>
      </c>
      <c r="D25" s="5" t="s">
        <v>394</v>
      </c>
      <c r="E25" s="5" t="s">
        <v>99</v>
      </c>
      <c r="F25" s="5" t="s">
        <v>437</v>
      </c>
    </row>
    <row r="26" customFormat="false" ht="23.25" hidden="false" customHeight="true" outlineLevel="0" collapsed="false">
      <c r="A26" s="18" t="s">
        <v>43</v>
      </c>
      <c r="B26" s="18" t="s">
        <v>438</v>
      </c>
      <c r="C26" s="18" t="s">
        <v>403</v>
      </c>
      <c r="D26" s="18" t="s">
        <v>177</v>
      </c>
      <c r="E26" s="18" t="s">
        <v>99</v>
      </c>
      <c r="F26" s="18"/>
    </row>
    <row r="27" customFormat="false" ht="23.25" hidden="false" customHeight="true" outlineLevel="0" collapsed="false">
      <c r="A27" s="5" t="s">
        <v>46</v>
      </c>
      <c r="B27" s="5" t="s">
        <v>439</v>
      </c>
      <c r="C27" s="5" t="s">
        <v>440</v>
      </c>
      <c r="D27" s="5" t="s">
        <v>394</v>
      </c>
      <c r="E27" s="5" t="s">
        <v>99</v>
      </c>
      <c r="F27" s="5" t="s">
        <v>441</v>
      </c>
    </row>
    <row r="28" customFormat="false" ht="57" hidden="false" customHeight="true" outlineLevel="0" collapsed="false">
      <c r="A28" s="5" t="s">
        <v>46</v>
      </c>
      <c r="B28" s="5" t="s">
        <v>442</v>
      </c>
      <c r="C28" s="5" t="s">
        <v>400</v>
      </c>
      <c r="D28" s="5" t="s">
        <v>381</v>
      </c>
      <c r="E28" s="5" t="s">
        <v>252</v>
      </c>
      <c r="F28" s="5" t="s">
        <v>443</v>
      </c>
    </row>
    <row r="29" customFormat="false" ht="23.25" hidden="false" customHeight="true" outlineLevel="0" collapsed="false">
      <c r="A29" s="5" t="s">
        <v>46</v>
      </c>
      <c r="B29" s="5" t="s">
        <v>444</v>
      </c>
      <c r="C29" s="5" t="s">
        <v>400</v>
      </c>
      <c r="D29" s="5" t="s">
        <v>381</v>
      </c>
      <c r="E29" s="5" t="s">
        <v>445</v>
      </c>
      <c r="F29" s="5" t="s">
        <v>446</v>
      </c>
    </row>
    <row r="30" customFormat="false" ht="23.25" hidden="false" customHeight="true" outlineLevel="0" collapsed="false">
      <c r="A30" s="5" t="s">
        <v>46</v>
      </c>
      <c r="B30" s="5" t="s">
        <v>447</v>
      </c>
      <c r="C30" s="5" t="s">
        <v>400</v>
      </c>
      <c r="D30" s="5" t="s">
        <v>381</v>
      </c>
      <c r="E30" s="5" t="s">
        <v>252</v>
      </c>
      <c r="F30" s="5" t="s">
        <v>448</v>
      </c>
    </row>
    <row r="31" customFormat="false" ht="23.25" hidden="false" customHeight="true" outlineLevel="0" collapsed="false">
      <c r="A31" s="18" t="s">
        <v>46</v>
      </c>
      <c r="B31" s="18" t="s">
        <v>449</v>
      </c>
      <c r="C31" s="18" t="s">
        <v>450</v>
      </c>
      <c r="D31" s="18" t="s">
        <v>177</v>
      </c>
      <c r="E31" s="18" t="s">
        <v>99</v>
      </c>
      <c r="F31" s="18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24" type="list">
      <formula1>"To do,In progress,Booked,Paid,N/A"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8C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34"/>
  </cols>
  <sheetData>
    <row r="1" customFormat="false" ht="24" hidden="false" customHeight="true" outlineLevel="0" collapsed="false">
      <c r="A1" s="2" t="s">
        <v>451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452</v>
      </c>
      <c r="B2" s="3"/>
      <c r="C2" s="3"/>
      <c r="D2" s="3"/>
      <c r="E2" s="3"/>
      <c r="F2" s="3"/>
    </row>
    <row r="4" customFormat="false" ht="18" hidden="false" customHeight="true" outlineLevel="0" collapsed="false">
      <c r="A4" s="4" t="s">
        <v>453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6" t="s">
        <v>454</v>
      </c>
      <c r="B5" s="6" t="s">
        <v>376</v>
      </c>
      <c r="C5" s="6" t="s">
        <v>455</v>
      </c>
      <c r="D5" s="6" t="s">
        <v>69</v>
      </c>
      <c r="E5" s="6" t="s">
        <v>70</v>
      </c>
      <c r="F5" s="6" t="s">
        <v>30</v>
      </c>
    </row>
    <row r="6" customFormat="false" ht="15" hidden="false" customHeight="true" outlineLevel="0" collapsed="false">
      <c r="A6" s="5" t="s">
        <v>456</v>
      </c>
      <c r="B6" s="5" t="s">
        <v>310</v>
      </c>
      <c r="C6" s="5" t="s">
        <v>457</v>
      </c>
      <c r="D6" s="5" t="s">
        <v>99</v>
      </c>
      <c r="E6" s="5"/>
      <c r="F6" s="5" t="s">
        <v>458</v>
      </c>
    </row>
    <row r="7" customFormat="false" ht="23.25" hidden="false" customHeight="true" outlineLevel="0" collapsed="false">
      <c r="A7" s="18" t="s">
        <v>459</v>
      </c>
      <c r="B7" s="18" t="s">
        <v>310</v>
      </c>
      <c r="C7" s="18" t="s">
        <v>460</v>
      </c>
      <c r="D7" s="18" t="s">
        <v>99</v>
      </c>
      <c r="E7" s="18"/>
      <c r="F7" s="18" t="s">
        <v>461</v>
      </c>
    </row>
    <row r="8" customFormat="false" ht="15" hidden="false" customHeight="true" outlineLevel="0" collapsed="false">
      <c r="A8" s="5" t="s">
        <v>462</v>
      </c>
      <c r="B8" s="5" t="s">
        <v>310</v>
      </c>
      <c r="C8" s="5" t="s">
        <v>463</v>
      </c>
      <c r="D8" s="5" t="s">
        <v>99</v>
      </c>
      <c r="E8" s="5"/>
      <c r="F8" s="5" t="s">
        <v>464</v>
      </c>
    </row>
    <row r="9" customFormat="false" ht="15" hidden="false" customHeight="true" outlineLevel="0" collapsed="false">
      <c r="A9" s="18" t="s">
        <v>465</v>
      </c>
      <c r="B9" s="18" t="s">
        <v>40</v>
      </c>
      <c r="C9" s="18" t="s">
        <v>466</v>
      </c>
      <c r="D9" s="18" t="s">
        <v>99</v>
      </c>
      <c r="E9" s="18"/>
      <c r="F9" s="18" t="s">
        <v>467</v>
      </c>
    </row>
    <row r="10" customFormat="false" ht="15" hidden="false" customHeight="true" outlineLevel="0" collapsed="false">
      <c r="A10" s="5" t="s">
        <v>468</v>
      </c>
      <c r="B10" s="5" t="s">
        <v>310</v>
      </c>
      <c r="C10" s="5" t="s">
        <v>469</v>
      </c>
      <c r="D10" s="5" t="s">
        <v>99</v>
      </c>
      <c r="E10" s="5"/>
      <c r="F10" s="5" t="s">
        <v>470</v>
      </c>
    </row>
    <row r="11" customFormat="false" ht="15" hidden="false" customHeight="true" outlineLevel="0" collapsed="false">
      <c r="A11" s="18" t="s">
        <v>471</v>
      </c>
      <c r="B11" s="18" t="s">
        <v>310</v>
      </c>
      <c r="C11" s="18" t="s">
        <v>472</v>
      </c>
      <c r="D11" s="18" t="s">
        <v>99</v>
      </c>
      <c r="E11" s="18"/>
      <c r="F11" s="18" t="s">
        <v>473</v>
      </c>
    </row>
    <row r="12" customFormat="false" ht="15" hidden="false" customHeight="true" outlineLevel="0" collapsed="false">
      <c r="A12" s="1" t="s">
        <v>474</v>
      </c>
    </row>
    <row r="13" customFormat="false" ht="18" hidden="false" customHeight="true" outlineLevel="0" collapsed="false">
      <c r="A13" s="4" t="s">
        <v>475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6" t="s">
        <v>376</v>
      </c>
      <c r="B14" s="6" t="s">
        <v>476</v>
      </c>
      <c r="C14" s="6" t="s">
        <v>477</v>
      </c>
      <c r="D14" s="6"/>
      <c r="E14" s="6"/>
      <c r="F14" s="6"/>
    </row>
    <row r="15" customFormat="false" ht="23.25" hidden="false" customHeight="true" outlineLevel="0" collapsed="false">
      <c r="A15" s="16" t="s">
        <v>310</v>
      </c>
      <c r="B15" s="5" t="s">
        <v>478</v>
      </c>
      <c r="C15" s="20" t="s">
        <v>479</v>
      </c>
      <c r="D15" s="20"/>
      <c r="E15" s="20"/>
      <c r="F15" s="20"/>
    </row>
    <row r="16" customFormat="false" ht="23.25" hidden="false" customHeight="true" outlineLevel="0" collapsed="false">
      <c r="A16" s="16" t="s">
        <v>310</v>
      </c>
      <c r="B16" s="5" t="s">
        <v>480</v>
      </c>
      <c r="C16" s="20" t="s">
        <v>481</v>
      </c>
      <c r="D16" s="20"/>
      <c r="E16" s="20"/>
      <c r="F16" s="20"/>
    </row>
    <row r="17" customFormat="false" ht="15" hidden="false" customHeight="true" outlineLevel="0" collapsed="false">
      <c r="A17" s="16" t="s">
        <v>310</v>
      </c>
      <c r="B17" s="5" t="s">
        <v>482</v>
      </c>
      <c r="C17" s="20" t="s">
        <v>483</v>
      </c>
      <c r="D17" s="20"/>
      <c r="E17" s="20"/>
      <c r="F17" s="20"/>
    </row>
    <row r="18" customFormat="false" ht="15" hidden="false" customHeight="true" outlineLevel="0" collapsed="false">
      <c r="A18" s="16" t="s">
        <v>310</v>
      </c>
      <c r="B18" s="5" t="s">
        <v>484</v>
      </c>
      <c r="C18" s="20" t="s">
        <v>485</v>
      </c>
      <c r="D18" s="20"/>
      <c r="E18" s="20"/>
      <c r="F18" s="20"/>
    </row>
    <row r="19" customFormat="false" ht="15" hidden="false" customHeight="true" outlineLevel="0" collapsed="false">
      <c r="A19" s="16" t="s">
        <v>486</v>
      </c>
      <c r="B19" s="5" t="s">
        <v>487</v>
      </c>
      <c r="C19" s="20" t="s">
        <v>488</v>
      </c>
      <c r="D19" s="20"/>
      <c r="E19" s="20"/>
      <c r="F19" s="20"/>
    </row>
    <row r="20" customFormat="false" ht="15" hidden="false" customHeight="true" outlineLevel="0" collapsed="false">
      <c r="A20" s="16" t="s">
        <v>486</v>
      </c>
      <c r="B20" s="5" t="s">
        <v>489</v>
      </c>
      <c r="C20" s="20" t="s">
        <v>490</v>
      </c>
      <c r="D20" s="20"/>
      <c r="E20" s="20"/>
      <c r="F20" s="20"/>
    </row>
    <row r="21" customFormat="false" ht="23.25" hidden="false" customHeight="true" outlineLevel="0" collapsed="false">
      <c r="A21" s="16" t="s">
        <v>40</v>
      </c>
      <c r="B21" s="5" t="s">
        <v>478</v>
      </c>
      <c r="C21" s="20" t="s">
        <v>491</v>
      </c>
      <c r="D21" s="20"/>
      <c r="E21" s="20"/>
      <c r="F21" s="20"/>
    </row>
    <row r="22" customFormat="false" ht="15" hidden="false" customHeight="true" outlineLevel="0" collapsed="false">
      <c r="A22" s="16" t="s">
        <v>40</v>
      </c>
      <c r="B22" s="5" t="s">
        <v>484</v>
      </c>
      <c r="C22" s="20" t="s">
        <v>492</v>
      </c>
      <c r="D22" s="20"/>
      <c r="E22" s="20"/>
      <c r="F22" s="20"/>
    </row>
    <row r="23" customFormat="false" ht="23.25" hidden="false" customHeight="true" outlineLevel="0" collapsed="false">
      <c r="A23" s="16" t="s">
        <v>43</v>
      </c>
      <c r="B23" s="5" t="s">
        <v>493</v>
      </c>
      <c r="C23" s="20" t="s">
        <v>494</v>
      </c>
      <c r="D23" s="20"/>
      <c r="E23" s="20"/>
      <c r="F23" s="20"/>
    </row>
    <row r="24" customFormat="false" ht="15" hidden="false" customHeight="true" outlineLevel="0" collapsed="false">
      <c r="A24" s="16" t="s">
        <v>43</v>
      </c>
      <c r="B24" s="5" t="s">
        <v>484</v>
      </c>
      <c r="C24" s="20" t="s">
        <v>495</v>
      </c>
      <c r="D24" s="20"/>
      <c r="E24" s="20"/>
      <c r="F24" s="20"/>
    </row>
    <row r="25" customFormat="false" ht="23.25" hidden="false" customHeight="true" outlineLevel="0" collapsed="false">
      <c r="A25" s="16" t="s">
        <v>46</v>
      </c>
      <c r="B25" s="5" t="s">
        <v>496</v>
      </c>
      <c r="C25" s="20" t="s">
        <v>497</v>
      </c>
      <c r="D25" s="20"/>
      <c r="E25" s="20"/>
      <c r="F25" s="20"/>
    </row>
    <row r="26" customFormat="false" ht="15" hidden="false" customHeight="true" outlineLevel="0" collapsed="false">
      <c r="A26" s="16" t="s">
        <v>46</v>
      </c>
      <c r="B26" s="5" t="s">
        <v>498</v>
      </c>
      <c r="C26" s="20" t="s">
        <v>499</v>
      </c>
      <c r="D26" s="20"/>
      <c r="E26" s="20"/>
      <c r="F26" s="20"/>
    </row>
  </sheetData>
  <mergeCells count="16">
    <mergeCell ref="A1:F1"/>
    <mergeCell ref="A2:F2"/>
    <mergeCell ref="A4:F4"/>
    <mergeCell ref="A13:F13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</mergeCells>
  <dataValidations count="1">
    <dataValidation allowBlank="true" errorStyle="stop" operator="between" showDropDown="false" showErrorMessage="false" showInputMessage="false" sqref="D6:D11" type="list">
      <formula1>"To do,In progress,Booked,Paid,N/A"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0" activeCellId="0" sqref="H10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36"/>
  </cols>
  <sheetData>
    <row r="1" customFormat="false" ht="24" hidden="false" customHeight="true" outlineLevel="0" collapsed="false">
      <c r="A1" s="2" t="s">
        <v>500</v>
      </c>
      <c r="B1" s="2"/>
      <c r="C1" s="2"/>
      <c r="D1" s="2"/>
      <c r="E1" s="2"/>
    </row>
    <row r="2" customFormat="false" ht="18" hidden="false" customHeight="true" outlineLevel="0" collapsed="false">
      <c r="A2" s="3" t="s">
        <v>501</v>
      </c>
      <c r="B2" s="3"/>
      <c r="C2" s="3"/>
      <c r="D2" s="3"/>
      <c r="E2" s="3"/>
    </row>
    <row r="4" customFormat="false" ht="15" hidden="false" customHeight="true" outlineLevel="0" collapsed="false">
      <c r="A4" s="6" t="s">
        <v>454</v>
      </c>
      <c r="B4" s="6" t="s">
        <v>476</v>
      </c>
      <c r="C4" s="6" t="s">
        <v>502</v>
      </c>
      <c r="D4" s="6" t="s">
        <v>503</v>
      </c>
      <c r="E4" s="6" t="s">
        <v>30</v>
      </c>
    </row>
    <row r="5" customFormat="false" ht="23.25" hidden="false" customHeight="true" outlineLevel="0" collapsed="false">
      <c r="A5" s="5" t="s">
        <v>504</v>
      </c>
      <c r="B5" s="5" t="s">
        <v>505</v>
      </c>
      <c r="C5" s="5" t="n">
        <v>11424</v>
      </c>
      <c r="D5" s="5" t="s">
        <v>381</v>
      </c>
      <c r="E5" s="5" t="s">
        <v>506</v>
      </c>
    </row>
    <row r="6" customFormat="false" ht="23.25" hidden="false" customHeight="true" outlineLevel="0" collapsed="false">
      <c r="A6" s="18" t="s">
        <v>507</v>
      </c>
      <c r="B6" s="18" t="s">
        <v>505</v>
      </c>
      <c r="C6" s="5" t="n">
        <v>11424</v>
      </c>
      <c r="D6" s="18" t="s">
        <v>381</v>
      </c>
      <c r="E6" s="5" t="s">
        <v>506</v>
      </c>
    </row>
    <row r="7" customFormat="false" ht="23.25" hidden="false" customHeight="true" outlineLevel="0" collapsed="false">
      <c r="A7" s="5" t="s">
        <v>508</v>
      </c>
      <c r="B7" s="5" t="s">
        <v>505</v>
      </c>
      <c r="C7" s="5" t="n">
        <v>714</v>
      </c>
      <c r="D7" s="5" t="s">
        <v>381</v>
      </c>
      <c r="E7" s="5" t="s">
        <v>509</v>
      </c>
    </row>
    <row r="8" customFormat="false" ht="15" hidden="false" customHeight="true" outlineLevel="0" collapsed="false">
      <c r="A8" s="18" t="s">
        <v>510</v>
      </c>
      <c r="B8" s="18" t="s">
        <v>505</v>
      </c>
      <c r="C8" s="18" t="n">
        <v>1254</v>
      </c>
      <c r="D8" s="18" t="s">
        <v>381</v>
      </c>
      <c r="E8" s="18" t="s">
        <v>511</v>
      </c>
    </row>
    <row r="9" customFormat="false" ht="15" hidden="false" customHeight="true" outlineLevel="0" collapsed="false">
      <c r="A9" s="5" t="s">
        <v>512</v>
      </c>
      <c r="B9" s="5" t="s">
        <v>513</v>
      </c>
      <c r="C9" s="5" t="n">
        <v>251</v>
      </c>
      <c r="D9" s="5" t="s">
        <v>177</v>
      </c>
      <c r="E9" s="5"/>
    </row>
    <row r="10" customFormat="false" ht="15" hidden="false" customHeight="true" outlineLevel="0" collapsed="false">
      <c r="A10" s="18" t="s">
        <v>514</v>
      </c>
      <c r="B10" s="18" t="s">
        <v>513</v>
      </c>
      <c r="C10" s="18" t="n">
        <v>56</v>
      </c>
      <c r="D10" s="18" t="s">
        <v>177</v>
      </c>
      <c r="E10" s="18"/>
    </row>
    <row r="11" customFormat="false" ht="15" hidden="false" customHeight="true" outlineLevel="0" collapsed="false">
      <c r="A11" s="5" t="s">
        <v>515</v>
      </c>
      <c r="B11" s="5" t="s">
        <v>513</v>
      </c>
      <c r="C11" s="5" t="n">
        <v>502</v>
      </c>
      <c r="D11" s="5" t="s">
        <v>177</v>
      </c>
      <c r="E11" s="5" t="s">
        <v>516</v>
      </c>
    </row>
    <row r="12" customFormat="false" ht="15" hidden="false" customHeight="true" outlineLevel="0" collapsed="false">
      <c r="A12" s="18" t="s">
        <v>517</v>
      </c>
      <c r="B12" s="18" t="s">
        <v>513</v>
      </c>
      <c r="C12" s="18" t="n">
        <v>669</v>
      </c>
      <c r="D12" s="18" t="s">
        <v>177</v>
      </c>
      <c r="E12" s="18" t="s">
        <v>518</v>
      </c>
    </row>
    <row r="13" customFormat="false" ht="15" hidden="false" customHeight="true" outlineLevel="0" collapsed="false">
      <c r="A13" s="5" t="s">
        <v>519</v>
      </c>
      <c r="B13" s="5" t="s">
        <v>513</v>
      </c>
      <c r="C13" s="5" t="n">
        <v>627</v>
      </c>
      <c r="D13" s="5" t="s">
        <v>177</v>
      </c>
      <c r="E13" s="5" t="s">
        <v>520</v>
      </c>
    </row>
    <row r="14" customFormat="false" ht="15" hidden="false" customHeight="true" outlineLevel="0" collapsed="false">
      <c r="A14" s="18" t="s">
        <v>521</v>
      </c>
      <c r="B14" s="18" t="s">
        <v>513</v>
      </c>
      <c r="C14" s="18" t="n">
        <v>84</v>
      </c>
      <c r="D14" s="18" t="s">
        <v>177</v>
      </c>
      <c r="E14" s="18" t="s">
        <v>522</v>
      </c>
    </row>
    <row r="15" customFormat="false" ht="15" hidden="false" customHeight="true" outlineLevel="0" collapsed="false">
      <c r="A15" s="5" t="s">
        <v>523</v>
      </c>
      <c r="B15" s="5" t="s">
        <v>524</v>
      </c>
      <c r="C15" s="21" t="n">
        <v>3130.24</v>
      </c>
      <c r="D15" s="5" t="s">
        <v>381</v>
      </c>
      <c r="E15" s="5" t="s">
        <v>525</v>
      </c>
    </row>
    <row r="16" customFormat="false" ht="15" hidden="false" customHeight="true" outlineLevel="0" collapsed="false">
      <c r="A16" s="18" t="s">
        <v>526</v>
      </c>
      <c r="B16" s="18" t="s">
        <v>524</v>
      </c>
      <c r="C16" s="21" t="n">
        <v>701.96</v>
      </c>
      <c r="D16" s="18" t="s">
        <v>381</v>
      </c>
      <c r="E16" s="18" t="s">
        <v>527</v>
      </c>
    </row>
    <row r="17" customFormat="false" ht="15" hidden="false" customHeight="true" outlineLevel="0" collapsed="false">
      <c r="A17" s="5" t="s">
        <v>528</v>
      </c>
      <c r="B17" s="5" t="s">
        <v>524</v>
      </c>
      <c r="C17" s="21" t="n">
        <v>2413.58</v>
      </c>
      <c r="D17" s="5" t="s">
        <v>381</v>
      </c>
      <c r="E17" s="5" t="s">
        <v>529</v>
      </c>
    </row>
    <row r="18" customFormat="false" ht="15" hidden="false" customHeight="true" outlineLevel="0" collapsed="false">
      <c r="A18" s="18" t="s">
        <v>530</v>
      </c>
      <c r="B18" s="18" t="s">
        <v>524</v>
      </c>
      <c r="C18" s="21" t="n">
        <v>1524.84</v>
      </c>
      <c r="D18" s="5" t="s">
        <v>381</v>
      </c>
      <c r="E18" s="18" t="s">
        <v>531</v>
      </c>
    </row>
    <row r="19" customFormat="false" ht="15" hidden="false" customHeight="true" outlineLevel="0" collapsed="false">
      <c r="A19" s="5" t="s">
        <v>532</v>
      </c>
      <c r="B19" s="5" t="s">
        <v>524</v>
      </c>
      <c r="C19" s="21" t="n">
        <v>968.37</v>
      </c>
      <c r="D19" s="5" t="s">
        <v>381</v>
      </c>
      <c r="E19" s="5" t="s">
        <v>533</v>
      </c>
    </row>
    <row r="20" customFormat="false" ht="15" hidden="false" customHeight="true" outlineLevel="0" collapsed="false">
      <c r="A20" s="18" t="s">
        <v>534</v>
      </c>
      <c r="B20" s="18" t="s">
        <v>524</v>
      </c>
      <c r="C20" s="21" t="n">
        <v>2137.66</v>
      </c>
      <c r="D20" s="5" t="s">
        <v>381</v>
      </c>
      <c r="E20" s="18" t="s">
        <v>535</v>
      </c>
    </row>
    <row r="21" customFormat="false" ht="15" hidden="false" customHeight="true" outlineLevel="0" collapsed="false">
      <c r="A21" s="5" t="s">
        <v>536</v>
      </c>
      <c r="B21" s="5" t="s">
        <v>524</v>
      </c>
      <c r="C21" s="21" t="n">
        <v>7808.93</v>
      </c>
      <c r="D21" s="5" t="s">
        <v>381</v>
      </c>
      <c r="E21" s="5" t="s">
        <v>537</v>
      </c>
    </row>
    <row r="22" customFormat="false" ht="15" hidden="false" customHeight="true" outlineLevel="0" collapsed="false">
      <c r="A22" s="18" t="s">
        <v>538</v>
      </c>
      <c r="B22" s="18" t="s">
        <v>539</v>
      </c>
      <c r="C22" s="18" t="n">
        <v>251</v>
      </c>
      <c r="D22" s="18" t="s">
        <v>177</v>
      </c>
      <c r="E22" s="18" t="s">
        <v>540</v>
      </c>
    </row>
    <row r="23" customFormat="false" ht="15" hidden="false" customHeight="true" outlineLevel="0" collapsed="false">
      <c r="A23" s="5" t="s">
        <v>541</v>
      </c>
      <c r="B23" s="5" t="s">
        <v>542</v>
      </c>
      <c r="C23" s="5" t="n">
        <v>1254</v>
      </c>
      <c r="D23" s="5" t="s">
        <v>177</v>
      </c>
      <c r="E23" s="5" t="s">
        <v>543</v>
      </c>
    </row>
    <row r="24" customFormat="false" ht="15" hidden="false" customHeight="true" outlineLevel="0" collapsed="false">
      <c r="A24" s="18" t="s">
        <v>544</v>
      </c>
      <c r="B24" s="18" t="s">
        <v>545</v>
      </c>
      <c r="C24" s="18" t="n">
        <v>125</v>
      </c>
      <c r="D24" s="18" t="s">
        <v>177</v>
      </c>
      <c r="E24" s="18"/>
    </row>
    <row r="26" customFormat="false" ht="15" hidden="false" customHeight="true" outlineLevel="0" collapsed="false">
      <c r="A26" s="22" t="s">
        <v>546</v>
      </c>
    </row>
    <row r="27" customFormat="false" ht="15" hidden="false" customHeight="true" outlineLevel="0" collapsed="false">
      <c r="A27" s="23" t="s">
        <v>505</v>
      </c>
      <c r="B27" s="9"/>
      <c r="C27" s="23" t="n">
        <f aca="false">SUMIF($B$5:$B$24,A27,$C$5:$C$24)</f>
        <v>24816</v>
      </c>
    </row>
    <row r="28" customFormat="false" ht="15" hidden="false" customHeight="true" outlineLevel="0" collapsed="false">
      <c r="A28" s="23" t="s">
        <v>513</v>
      </c>
      <c r="B28" s="9"/>
      <c r="C28" s="23" t="n">
        <f aca="false">SUMIF($B$5:$B$24,A28,$C$5:$C$24)</f>
        <v>2189</v>
      </c>
    </row>
    <row r="29" customFormat="false" ht="15" hidden="false" customHeight="true" outlineLevel="0" collapsed="false">
      <c r="A29" s="23" t="s">
        <v>524</v>
      </c>
      <c r="B29" s="9"/>
      <c r="C29" s="23" t="n">
        <f aca="false">SUMIF($B$5:$B$24,A29,$C$5:$C$24)</f>
        <v>18685.58</v>
      </c>
    </row>
    <row r="30" customFormat="false" ht="15" hidden="false" customHeight="true" outlineLevel="0" collapsed="false">
      <c r="A30" s="23" t="s">
        <v>539</v>
      </c>
      <c r="B30" s="9"/>
      <c r="C30" s="23" t="n">
        <f aca="false">SUMIF($B$5:$B$24,A30,$C$5:$C$24)</f>
        <v>251</v>
      </c>
    </row>
    <row r="31" customFormat="false" ht="15" hidden="false" customHeight="true" outlineLevel="0" collapsed="false">
      <c r="A31" s="23" t="s">
        <v>542</v>
      </c>
      <c r="B31" s="9"/>
      <c r="C31" s="23" t="n">
        <f aca="false">SUMIF($B$5:$B$24,A31,$C$5:$C$24)</f>
        <v>1254</v>
      </c>
    </row>
    <row r="32" customFormat="false" ht="15" hidden="false" customHeight="true" outlineLevel="0" collapsed="false">
      <c r="A32" s="23" t="s">
        <v>545</v>
      </c>
      <c r="B32" s="9"/>
      <c r="C32" s="23" t="n">
        <f aca="false">SUMIF($B$5:$B$24,A32,$C$5:$C$24)</f>
        <v>125</v>
      </c>
    </row>
    <row r="33" customFormat="false" ht="15" hidden="false" customHeight="true" outlineLevel="0" collapsed="false">
      <c r="A33" s="8" t="s">
        <v>547</v>
      </c>
      <c r="B33" s="9"/>
      <c r="C33" s="24" t="n">
        <f aca="false">SUM(C5:C24)</f>
        <v>47320.58</v>
      </c>
    </row>
    <row r="34" customFormat="false" ht="15" hidden="false" customHeight="true" outlineLevel="0" collapsed="false">
      <c r="A34" s="25" t="s">
        <v>548</v>
      </c>
      <c r="B34" s="25"/>
      <c r="C34" s="25"/>
      <c r="D34" s="25"/>
      <c r="E34" s="25"/>
    </row>
  </sheetData>
  <mergeCells count="3">
    <mergeCell ref="A1:E1"/>
    <mergeCell ref="A2:E2"/>
    <mergeCell ref="A34:E34"/>
  </mergeCells>
  <dataValidations count="1">
    <dataValidation allowBlank="true" errorStyle="stop" operator="between" showDropDown="false" showErrorMessage="false" showInputMessage="false" sqref="D5:D24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770"/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0"/>
  </cols>
  <sheetData>
    <row r="1" customFormat="false" ht="24" hidden="false" customHeight="true" outlineLevel="0" collapsed="false">
      <c r="A1" s="2" t="s">
        <v>549</v>
      </c>
      <c r="B1" s="2"/>
    </row>
    <row r="2" customFormat="false" ht="18" hidden="false" customHeight="true" outlineLevel="0" collapsed="false">
      <c r="A2" s="3" t="s">
        <v>550</v>
      </c>
      <c r="B2" s="3"/>
    </row>
    <row r="4" customFormat="false" ht="18" hidden="false" customHeight="true" outlineLevel="0" collapsed="false">
      <c r="A4" s="4" t="s">
        <v>551</v>
      </c>
      <c r="B4" s="4"/>
    </row>
    <row r="5" customFormat="false" ht="15" hidden="false" customHeight="true" outlineLevel="0" collapsed="false">
      <c r="A5" s="6" t="s">
        <v>552</v>
      </c>
      <c r="B5" s="6" t="s">
        <v>553</v>
      </c>
    </row>
    <row r="6" customFormat="false" ht="15" hidden="false" customHeight="true" outlineLevel="0" collapsed="false">
      <c r="A6" s="5" t="s">
        <v>234</v>
      </c>
      <c r="B6" s="5" t="s">
        <v>554</v>
      </c>
    </row>
    <row r="7" customFormat="false" ht="23.25" hidden="false" customHeight="true" outlineLevel="0" collapsed="false">
      <c r="A7" s="18" t="s">
        <v>555</v>
      </c>
      <c r="B7" s="18" t="s">
        <v>556</v>
      </c>
    </row>
    <row r="8" customFormat="false" ht="15" hidden="false" customHeight="true" outlineLevel="0" collapsed="false">
      <c r="A8" s="5" t="s">
        <v>557</v>
      </c>
      <c r="B8" s="5" t="s">
        <v>558</v>
      </c>
    </row>
    <row r="9" customFormat="false" ht="15" hidden="false" customHeight="true" outlineLevel="0" collapsed="false">
      <c r="A9" s="18" t="s">
        <v>559</v>
      </c>
      <c r="B9" s="18" t="s">
        <v>560</v>
      </c>
    </row>
    <row r="10" customFormat="false" ht="23.25" hidden="false" customHeight="true" outlineLevel="0" collapsed="false">
      <c r="A10" s="5" t="s">
        <v>561</v>
      </c>
      <c r="B10" s="5" t="s">
        <v>562</v>
      </c>
    </row>
    <row r="11" customFormat="false" ht="15" hidden="false" customHeight="true" outlineLevel="0" collapsed="false">
      <c r="A11" s="18" t="s">
        <v>563</v>
      </c>
      <c r="B11" s="18" t="s">
        <v>564</v>
      </c>
    </row>
    <row r="12" customFormat="false" ht="15" hidden="false" customHeight="true" outlineLevel="0" collapsed="false">
      <c r="A12" s="5" t="s">
        <v>565</v>
      </c>
      <c r="B12" s="5" t="s">
        <v>566</v>
      </c>
    </row>
    <row r="13" customFormat="false" ht="15" hidden="false" customHeight="true" outlineLevel="0" collapsed="false">
      <c r="A13" s="18" t="s">
        <v>567</v>
      </c>
      <c r="B13" s="18" t="s">
        <v>568</v>
      </c>
    </row>
    <row r="14" customFormat="false" ht="15" hidden="false" customHeight="true" outlineLevel="0" collapsed="false">
      <c r="A14" s="5" t="s">
        <v>569</v>
      </c>
      <c r="B14" s="5" t="s">
        <v>570</v>
      </c>
    </row>
    <row r="16" customFormat="false" ht="18" hidden="false" customHeight="true" outlineLevel="0" collapsed="false">
      <c r="A16" s="4" t="s">
        <v>571</v>
      </c>
      <c r="B16" s="4"/>
    </row>
    <row r="17" customFormat="false" ht="15" hidden="false" customHeight="true" outlineLevel="0" collapsed="false">
      <c r="A17" s="5" t="s">
        <v>572</v>
      </c>
      <c r="B17" s="5" t="s">
        <v>573</v>
      </c>
    </row>
    <row r="18" customFormat="false" ht="15" hidden="false" customHeight="true" outlineLevel="0" collapsed="false">
      <c r="A18" s="18" t="s">
        <v>574</v>
      </c>
      <c r="B18" s="18" t="s">
        <v>575</v>
      </c>
    </row>
    <row r="19" customFormat="false" ht="15" hidden="false" customHeight="true" outlineLevel="0" collapsed="false">
      <c r="A19" s="5" t="s">
        <v>576</v>
      </c>
      <c r="B19" s="5" t="s">
        <v>577</v>
      </c>
    </row>
    <row r="20" customFormat="false" ht="15" hidden="false" customHeight="true" outlineLevel="0" collapsed="false">
      <c r="A20" s="18" t="s">
        <v>578</v>
      </c>
      <c r="B20" s="18" t="s">
        <v>579</v>
      </c>
    </row>
    <row r="21" customFormat="false" ht="15" hidden="false" customHeight="true" outlineLevel="0" collapsed="false">
      <c r="A21" s="5" t="s">
        <v>580</v>
      </c>
      <c r="B21" s="5" t="s">
        <v>581</v>
      </c>
    </row>
    <row r="22" customFormat="false" ht="15" hidden="false" customHeight="true" outlineLevel="0" collapsed="false">
      <c r="A22" s="18" t="s">
        <v>582</v>
      </c>
      <c r="B22" s="18" t="s">
        <v>583</v>
      </c>
    </row>
  </sheetData>
  <mergeCells count="4">
    <mergeCell ref="A1:B1"/>
    <mergeCell ref="A2:B2"/>
    <mergeCell ref="A4:B4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7B4C"/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4" topLeftCell="A4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"/>
    <col collapsed="false" customWidth="true" hidden="false" outlineLevel="0" max="3" min="3" style="1" width="12"/>
  </cols>
  <sheetData>
    <row r="1" customFormat="false" ht="24" hidden="false" customHeight="true" outlineLevel="0" collapsed="false">
      <c r="A1" s="2" t="s">
        <v>584</v>
      </c>
      <c r="B1" s="2"/>
      <c r="C1" s="2"/>
    </row>
    <row r="2" customFormat="false" ht="18" hidden="false" customHeight="true" outlineLevel="0" collapsed="false">
      <c r="A2" s="3" t="s">
        <v>585</v>
      </c>
      <c r="B2" s="3"/>
      <c r="C2" s="3"/>
    </row>
    <row r="4" customFormat="false" ht="18" hidden="false" customHeight="true" outlineLevel="0" collapsed="false">
      <c r="A4" s="4" t="s">
        <v>586</v>
      </c>
      <c r="B4" s="4"/>
      <c r="C4" s="4"/>
    </row>
    <row r="5" customFormat="false" ht="15" hidden="false" customHeight="true" outlineLevel="0" collapsed="false">
      <c r="A5" s="6" t="s">
        <v>454</v>
      </c>
      <c r="B5" s="6" t="s">
        <v>587</v>
      </c>
      <c r="C5" s="6" t="s">
        <v>588</v>
      </c>
    </row>
    <row r="6" customFormat="false" ht="15" hidden="false" customHeight="true" outlineLevel="0" collapsed="false">
      <c r="A6" s="5" t="s">
        <v>589</v>
      </c>
      <c r="B6" s="5" t="s">
        <v>590</v>
      </c>
      <c r="C6" s="5" t="s">
        <v>177</v>
      </c>
    </row>
    <row r="7" customFormat="false" ht="15" hidden="false" customHeight="true" outlineLevel="0" collapsed="false">
      <c r="A7" s="18" t="s">
        <v>591</v>
      </c>
      <c r="B7" s="18" t="s">
        <v>150</v>
      </c>
      <c r="C7" s="18" t="s">
        <v>177</v>
      </c>
    </row>
    <row r="8" customFormat="false" ht="15" hidden="false" customHeight="true" outlineLevel="0" collapsed="false">
      <c r="A8" s="5" t="s">
        <v>592</v>
      </c>
      <c r="B8" s="5" t="s">
        <v>150</v>
      </c>
      <c r="C8" s="5" t="s">
        <v>177</v>
      </c>
    </row>
    <row r="9" customFormat="false" ht="15" hidden="false" customHeight="true" outlineLevel="0" collapsed="false">
      <c r="A9" s="18" t="s">
        <v>593</v>
      </c>
      <c r="B9" s="18" t="s">
        <v>150</v>
      </c>
      <c r="C9" s="18" t="s">
        <v>177</v>
      </c>
    </row>
    <row r="10" customFormat="false" ht="15" hidden="false" customHeight="true" outlineLevel="0" collapsed="false">
      <c r="A10" s="5" t="s">
        <v>594</v>
      </c>
      <c r="B10" s="5" t="s">
        <v>150</v>
      </c>
      <c r="C10" s="5" t="s">
        <v>177</v>
      </c>
    </row>
    <row r="11" customFormat="false" ht="15" hidden="false" customHeight="true" outlineLevel="0" collapsed="false">
      <c r="A11" s="18" t="s">
        <v>595</v>
      </c>
      <c r="B11" s="18" t="s">
        <v>150</v>
      </c>
      <c r="C11" s="18" t="s">
        <v>177</v>
      </c>
    </row>
    <row r="13" customFormat="false" ht="18" hidden="false" customHeight="true" outlineLevel="0" collapsed="false">
      <c r="A13" s="4" t="s">
        <v>596</v>
      </c>
      <c r="B13" s="4"/>
      <c r="C13" s="4"/>
    </row>
    <row r="14" customFormat="false" ht="15" hidden="false" customHeight="true" outlineLevel="0" collapsed="false">
      <c r="A14" s="6" t="s">
        <v>454</v>
      </c>
      <c r="B14" s="6" t="s">
        <v>587</v>
      </c>
      <c r="C14" s="6" t="s">
        <v>588</v>
      </c>
    </row>
    <row r="15" customFormat="false" ht="15" hidden="false" customHeight="true" outlineLevel="0" collapsed="false">
      <c r="A15" s="5" t="s">
        <v>597</v>
      </c>
      <c r="B15" s="5" t="s">
        <v>598</v>
      </c>
      <c r="C15" s="5" t="s">
        <v>177</v>
      </c>
    </row>
    <row r="16" customFormat="false" ht="15" hidden="false" customHeight="true" outlineLevel="0" collapsed="false">
      <c r="A16" s="18" t="s">
        <v>599</v>
      </c>
      <c r="B16" s="18" t="s">
        <v>600</v>
      </c>
      <c r="C16" s="18" t="s">
        <v>177</v>
      </c>
    </row>
    <row r="17" customFormat="false" ht="15" hidden="false" customHeight="true" outlineLevel="0" collapsed="false">
      <c r="A17" s="5" t="s">
        <v>601</v>
      </c>
      <c r="B17" s="5" t="s">
        <v>600</v>
      </c>
      <c r="C17" s="5" t="s">
        <v>177</v>
      </c>
    </row>
    <row r="18" customFormat="false" ht="15" hidden="false" customHeight="true" outlineLevel="0" collapsed="false">
      <c r="A18" s="18" t="s">
        <v>602</v>
      </c>
      <c r="B18" s="18" t="s">
        <v>603</v>
      </c>
      <c r="C18" s="18" t="s">
        <v>177</v>
      </c>
    </row>
    <row r="19" customFormat="false" ht="15" hidden="false" customHeight="true" outlineLevel="0" collapsed="false">
      <c r="A19" s="5" t="s">
        <v>604</v>
      </c>
      <c r="B19" s="5" t="s">
        <v>603</v>
      </c>
      <c r="C19" s="5" t="s">
        <v>177</v>
      </c>
    </row>
    <row r="20" customFormat="false" ht="15" hidden="false" customHeight="true" outlineLevel="0" collapsed="false">
      <c r="A20" s="18" t="s">
        <v>605</v>
      </c>
      <c r="B20" s="18" t="s">
        <v>590</v>
      </c>
      <c r="C20" s="18" t="s">
        <v>177</v>
      </c>
    </row>
    <row r="21" customFormat="false" ht="15" hidden="false" customHeight="true" outlineLevel="0" collapsed="false">
      <c r="A21" s="5" t="s">
        <v>606</v>
      </c>
      <c r="B21" s="5" t="s">
        <v>607</v>
      </c>
      <c r="C21" s="5" t="s">
        <v>177</v>
      </c>
    </row>
    <row r="22" customFormat="false" ht="15" hidden="false" customHeight="true" outlineLevel="0" collapsed="false">
      <c r="A22" s="18" t="s">
        <v>608</v>
      </c>
      <c r="B22" s="18" t="s">
        <v>609</v>
      </c>
      <c r="C22" s="18" t="s">
        <v>177</v>
      </c>
    </row>
    <row r="23" customFormat="false" ht="15" hidden="false" customHeight="true" outlineLevel="0" collapsed="false">
      <c r="A23" s="5" t="s">
        <v>610</v>
      </c>
      <c r="B23" s="5" t="s">
        <v>150</v>
      </c>
      <c r="C23" s="5" t="s">
        <v>177</v>
      </c>
    </row>
    <row r="24" customFormat="false" ht="15" hidden="false" customHeight="true" outlineLevel="0" collapsed="false">
      <c r="A24" s="18" t="s">
        <v>611</v>
      </c>
      <c r="B24" s="18" t="s">
        <v>590</v>
      </c>
      <c r="C24" s="18" t="s">
        <v>177</v>
      </c>
    </row>
    <row r="26" customFormat="false" ht="18" hidden="false" customHeight="true" outlineLevel="0" collapsed="false">
      <c r="A26" s="4" t="s">
        <v>612</v>
      </c>
      <c r="B26" s="4"/>
      <c r="C26" s="4"/>
    </row>
    <row r="27" customFormat="false" ht="15" hidden="false" customHeight="true" outlineLevel="0" collapsed="false">
      <c r="A27" s="6" t="s">
        <v>454</v>
      </c>
      <c r="B27" s="6" t="s">
        <v>587</v>
      </c>
      <c r="C27" s="6" t="s">
        <v>588</v>
      </c>
    </row>
    <row r="28" customFormat="false" ht="15" hidden="false" customHeight="true" outlineLevel="0" collapsed="false">
      <c r="A28" s="5" t="s">
        <v>613</v>
      </c>
      <c r="B28" s="5" t="s">
        <v>590</v>
      </c>
      <c r="C28" s="5" t="s">
        <v>177</v>
      </c>
    </row>
    <row r="29" customFormat="false" ht="15" hidden="false" customHeight="true" outlineLevel="0" collapsed="false">
      <c r="A29" s="18" t="s">
        <v>614</v>
      </c>
      <c r="B29" s="18" t="s">
        <v>150</v>
      </c>
      <c r="C29" s="18" t="s">
        <v>177</v>
      </c>
    </row>
    <row r="30" customFormat="false" ht="15" hidden="false" customHeight="true" outlineLevel="0" collapsed="false">
      <c r="A30" s="5" t="s">
        <v>615</v>
      </c>
      <c r="B30" s="5" t="s">
        <v>150</v>
      </c>
      <c r="C30" s="5" t="s">
        <v>177</v>
      </c>
    </row>
    <row r="31" customFormat="false" ht="15" hidden="false" customHeight="true" outlineLevel="0" collapsed="false">
      <c r="A31" s="18" t="s">
        <v>616</v>
      </c>
      <c r="B31" s="18" t="s">
        <v>150</v>
      </c>
      <c r="C31" s="18" t="s">
        <v>177</v>
      </c>
    </row>
    <row r="32" customFormat="false" ht="15" hidden="false" customHeight="true" outlineLevel="0" collapsed="false">
      <c r="A32" s="5" t="s">
        <v>617</v>
      </c>
      <c r="B32" s="5" t="s">
        <v>150</v>
      </c>
      <c r="C32" s="5" t="s">
        <v>177</v>
      </c>
    </row>
    <row r="33" customFormat="false" ht="15" hidden="false" customHeight="true" outlineLevel="0" collapsed="false">
      <c r="A33" s="18" t="s">
        <v>618</v>
      </c>
      <c r="B33" s="18" t="s">
        <v>150</v>
      </c>
      <c r="C33" s="18" t="s">
        <v>177</v>
      </c>
    </row>
    <row r="35" customFormat="false" ht="18" hidden="false" customHeight="true" outlineLevel="0" collapsed="false">
      <c r="A35" s="4" t="s">
        <v>619</v>
      </c>
      <c r="B35" s="4"/>
      <c r="C35" s="4"/>
    </row>
    <row r="36" customFormat="false" ht="15" hidden="false" customHeight="true" outlineLevel="0" collapsed="false">
      <c r="A36" s="6" t="s">
        <v>454</v>
      </c>
      <c r="B36" s="6" t="s">
        <v>587</v>
      </c>
      <c r="C36" s="6" t="s">
        <v>588</v>
      </c>
    </row>
    <row r="37" customFormat="false" ht="15" hidden="false" customHeight="true" outlineLevel="0" collapsed="false">
      <c r="A37" s="5" t="s">
        <v>620</v>
      </c>
      <c r="B37" s="5" t="s">
        <v>150</v>
      </c>
      <c r="C37" s="5" t="s">
        <v>177</v>
      </c>
    </row>
    <row r="38" customFormat="false" ht="15" hidden="false" customHeight="true" outlineLevel="0" collapsed="false">
      <c r="A38" s="18" t="s">
        <v>621</v>
      </c>
      <c r="B38" s="18" t="s">
        <v>603</v>
      </c>
      <c r="C38" s="18" t="s">
        <v>177</v>
      </c>
    </row>
    <row r="39" customFormat="false" ht="15" hidden="false" customHeight="true" outlineLevel="0" collapsed="false">
      <c r="A39" s="5" t="s">
        <v>622</v>
      </c>
      <c r="B39" s="5" t="s">
        <v>150</v>
      </c>
      <c r="C39" s="5" t="s">
        <v>177</v>
      </c>
    </row>
    <row r="40" customFormat="false" ht="15" hidden="false" customHeight="true" outlineLevel="0" collapsed="false">
      <c r="A40" s="18" t="s">
        <v>623</v>
      </c>
      <c r="B40" s="18" t="s">
        <v>150</v>
      </c>
      <c r="C40" s="18" t="s">
        <v>177</v>
      </c>
    </row>
    <row r="41" customFormat="false" ht="15" hidden="false" customHeight="true" outlineLevel="0" collapsed="false">
      <c r="A41" s="5" t="s">
        <v>624</v>
      </c>
      <c r="B41" s="5" t="s">
        <v>150</v>
      </c>
      <c r="C41" s="5" t="s">
        <v>177</v>
      </c>
    </row>
    <row r="43" customFormat="false" ht="18" hidden="false" customHeight="true" outlineLevel="0" collapsed="false">
      <c r="A43" s="4" t="s">
        <v>625</v>
      </c>
      <c r="B43" s="4"/>
      <c r="C43" s="4"/>
    </row>
    <row r="44" customFormat="false" ht="15" hidden="false" customHeight="true" outlineLevel="0" collapsed="false">
      <c r="A44" s="6" t="s">
        <v>454</v>
      </c>
      <c r="B44" s="6" t="s">
        <v>587</v>
      </c>
      <c r="C44" s="6" t="s">
        <v>588</v>
      </c>
    </row>
    <row r="45" customFormat="false" ht="15" hidden="false" customHeight="true" outlineLevel="0" collapsed="false">
      <c r="A45" s="5" t="s">
        <v>626</v>
      </c>
      <c r="B45" s="5" t="s">
        <v>603</v>
      </c>
      <c r="C45" s="5" t="s">
        <v>177</v>
      </c>
    </row>
    <row r="46" customFormat="false" ht="15" hidden="false" customHeight="true" outlineLevel="0" collapsed="false">
      <c r="A46" s="18" t="s">
        <v>627</v>
      </c>
      <c r="B46" s="18" t="s">
        <v>603</v>
      </c>
      <c r="C46" s="18" t="s">
        <v>177</v>
      </c>
    </row>
    <row r="47" customFormat="false" ht="15" hidden="false" customHeight="true" outlineLevel="0" collapsed="false">
      <c r="A47" s="5" t="s">
        <v>628</v>
      </c>
      <c r="B47" s="5" t="s">
        <v>150</v>
      </c>
      <c r="C47" s="5" t="s">
        <v>177</v>
      </c>
    </row>
    <row r="48" customFormat="false" ht="15" hidden="false" customHeight="true" outlineLevel="0" collapsed="false">
      <c r="A48" s="18" t="s">
        <v>629</v>
      </c>
      <c r="B48" s="18" t="s">
        <v>150</v>
      </c>
      <c r="C48" s="18" t="s">
        <v>177</v>
      </c>
    </row>
    <row r="49" customFormat="false" ht="15" hidden="false" customHeight="true" outlineLevel="0" collapsed="false">
      <c r="A49" s="5" t="s">
        <v>630</v>
      </c>
      <c r="B49" s="5" t="s">
        <v>150</v>
      </c>
      <c r="C49" s="5" t="s">
        <v>177</v>
      </c>
    </row>
  </sheetData>
  <mergeCells count="7">
    <mergeCell ref="A1:C1"/>
    <mergeCell ref="A2:C2"/>
    <mergeCell ref="A4:C4"/>
    <mergeCell ref="A13:C13"/>
    <mergeCell ref="A26:C26"/>
    <mergeCell ref="A35:C35"/>
    <mergeCell ref="A43:C43"/>
  </mergeCells>
  <dataValidations count="1">
    <dataValidation allowBlank="true" errorStyle="stop" operator="between" showDropDown="false" showErrorMessage="false" showInputMessage="false" sqref="C6:C11 C15:C24 C28:C33 C37:C41 C45:C4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2026-06-28T19:56:01Z</dcterms:created>
  <dc:creator>openpyxl</dc:creator>
  <dc:description/>
  <dc:language>en-US</dc:language>
  <cp:lastModifiedBy>Gur Aven</cp:lastModifiedBy>
  <dcterms:modified xsi:type="dcterms:W3CDTF">2026-08-19T05:57:10Z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